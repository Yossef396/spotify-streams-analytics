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06D\EXCELCNV\463a5f9d-1a7c-4df6-87eb-811d5340cfd6\"/>
    </mc:Choice>
  </mc:AlternateContent>
  <xr:revisionPtr revIDLastSave="0" documentId="8_{E94630C5-A87B-41F9-A2BE-1FE59004A590}" xr6:coauthVersionLast="47" xr6:coauthVersionMax="47" xr10:uidLastSave="{00000000-0000-0000-0000-000000000000}"/>
  <bookViews>
    <workbookView xWindow="-60" yWindow="-60" windowWidth="15480" windowHeight="11640" firstSheet="1" activeTab="3" xr2:uid="{4DC0AB25-F00D-46AC-902A-DEA1A2B95895}"/>
  </bookViews>
  <sheets>
    <sheet name="Analytics_Pivots" sheetId="2" r:id="rId1"/>
    <sheet name="Clean_Data" sheetId="1" r:id="rId2"/>
    <sheet name="Executive_Dashboard" sheetId="3" r:id="rId3"/>
    <sheet name="Spotify_Analytics_Report" sheetId="4" r:id="rId4"/>
  </sheets>
  <definedNames>
    <definedName name="Slicer_Artist">#N/A</definedName>
    <definedName name="Slicer_Genre">#N/A</definedName>
    <definedName name="Slicer_Streams_Category">#N/A</definedName>
  </definedNames>
  <calcPr calcId="191028"/>
  <pivotCaches>
    <pivotCache cacheId="27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D3" i="3"/>
  <c r="K3" i="3"/>
  <c r="G3" i="3"/>
  <c r="F2" i="1" a="1"/>
  <c r="F3" i="1" a="1"/>
  <c r="F4" i="1" a="1"/>
  <c r="F5" i="1" a="1"/>
  <c r="F6" i="1" a="1"/>
  <c r="F7" i="1" a="1"/>
  <c r="F8" i="1" a="1"/>
  <c r="F9" i="1" a="1"/>
  <c r="F10" i="1" a="1"/>
  <c r="F11" i="1" a="1"/>
  <c r="F12" i="1" a="1"/>
  <c r="F13" i="1" a="1"/>
  <c r="F14" i="1" a="1"/>
  <c r="F15" i="1" a="1"/>
  <c r="F16" i="1" a="1"/>
  <c r="F17" i="1" a="1"/>
  <c r="F18" i="1" a="1"/>
  <c r="F19" i="1" a="1"/>
  <c r="F20" i="1" a="1"/>
  <c r="F21" i="1" a="1"/>
  <c r="F22" i="1" a="1"/>
  <c r="F23" i="1" a="1"/>
  <c r="F24" i="1" a="1"/>
  <c r="F25" i="1" a="1"/>
  <c r="F26" i="1" a="1"/>
  <c r="F27" i="1" a="1"/>
  <c r="F28" i="1" a="1"/>
  <c r="F29" i="1" a="1"/>
  <c r="F30" i="1" a="1"/>
  <c r="F31" i="1" a="1"/>
  <c r="F32" i="1" a="1"/>
  <c r="F33" i="1" a="1"/>
  <c r="F34" i="1" a="1"/>
  <c r="F35" i="1" a="1"/>
  <c r="F36" i="1" a="1"/>
  <c r="F37" i="1" a="1"/>
  <c r="F38" i="1" a="1"/>
  <c r="F39" i="1" a="1"/>
  <c r="F40" i="1" a="1"/>
  <c r="F41" i="1" a="1"/>
  <c r="F42" i="1" a="1"/>
  <c r="F43" i="1" a="1"/>
  <c r="F44" i="1" a="1"/>
  <c r="F45" i="1" a="1"/>
  <c r="F46" i="1" a="1"/>
  <c r="F47" i="1" a="1"/>
  <c r="F48" i="1" a="1"/>
  <c r="F49" i="1" a="1"/>
  <c r="F50" i="1" a="1"/>
  <c r="F51" i="1" a="1"/>
  <c r="F52" i="1" a="1"/>
  <c r="F53" i="1" a="1"/>
  <c r="F54" i="1" a="1"/>
  <c r="F55" i="1" a="1"/>
  <c r="F56" i="1" a="1"/>
  <c r="F57" i="1" a="1"/>
  <c r="F58" i="1" a="1"/>
  <c r="F59" i="1" a="1"/>
  <c r="F60" i="1" a="1"/>
  <c r="F61" i="1" a="1"/>
  <c r="F62" i="1" a="1"/>
  <c r="F63" i="1" a="1"/>
  <c r="F64" i="1" a="1"/>
  <c r="F65" i="1" a="1"/>
  <c r="F66" i="1" a="1"/>
  <c r="F67" i="1" a="1"/>
  <c r="F68" i="1" a="1"/>
  <c r="F69" i="1" a="1"/>
  <c r="F70" i="1" a="1"/>
  <c r="F71" i="1" a="1"/>
  <c r="F72" i="1" a="1"/>
  <c r="F73" i="1" a="1"/>
  <c r="F74" i="1" a="1"/>
  <c r="F75" i="1" a="1"/>
  <c r="F76" i="1" a="1"/>
  <c r="F77" i="1" a="1"/>
  <c r="F78" i="1" a="1"/>
  <c r="F79" i="1" a="1"/>
  <c r="F80" i="1" a="1"/>
  <c r="F81" i="1" a="1"/>
  <c r="F82" i="1" a="1"/>
  <c r="F83" i="1" a="1"/>
  <c r="F84" i="1" a="1"/>
  <c r="F85" i="1" a="1"/>
  <c r="F86" i="1" a="1"/>
  <c r="F87" i="1" a="1"/>
  <c r="F88" i="1" a="1"/>
  <c r="F89" i="1" a="1"/>
  <c r="F90" i="1" a="1"/>
  <c r="F91" i="1" a="1"/>
  <c r="F92" i="1" a="1"/>
  <c r="F93" i="1" a="1"/>
  <c r="F94" i="1" a="1"/>
  <c r="F95" i="1" a="1"/>
  <c r="F96" i="1" a="1"/>
  <c r="F97" i="1" a="1"/>
  <c r="F98" i="1" a="1"/>
  <c r="F99" i="1" a="1"/>
  <c r="F100" i="1" a="1"/>
  <c r="F101" i="1" a="1"/>
  <c r="F102" i="1" a="1"/>
  <c r="F103" i="1" a="1"/>
  <c r="F104" i="1" a="1"/>
  <c r="F105" i="1" a="1"/>
  <c r="F106" i="1" a="1"/>
  <c r="F107" i="1" a="1"/>
  <c r="F108" i="1" a="1"/>
  <c r="F109" i="1" a="1"/>
  <c r="F110" i="1" a="1"/>
  <c r="F111" i="1" a="1"/>
  <c r="F112" i="1" a="1"/>
  <c r="F113" i="1" a="1"/>
  <c r="F114" i="1" a="1"/>
  <c r="F115" i="1" a="1"/>
  <c r="F116" i="1" a="1"/>
  <c r="F117" i="1" a="1"/>
  <c r="F118" i="1" a="1"/>
  <c r="F119" i="1" a="1"/>
  <c r="F120" i="1" a="1"/>
  <c r="F121" i="1" a="1"/>
  <c r="F122" i="1" a="1"/>
  <c r="F123" i="1" a="1"/>
  <c r="F124" i="1" a="1"/>
  <c r="F125" i="1" a="1"/>
  <c r="F126" i="1" a="1"/>
  <c r="F127" i="1" a="1"/>
  <c r="F128" i="1" a="1"/>
  <c r="F129" i="1" a="1"/>
  <c r="F130" i="1" a="1"/>
  <c r="F131" i="1" a="1"/>
  <c r="F132" i="1" a="1"/>
  <c r="F133" i="1" a="1"/>
  <c r="F134" i="1" a="1"/>
  <c r="F135" i="1" a="1"/>
  <c r="F136" i="1" a="1"/>
  <c r="F137" i="1" a="1"/>
  <c r="F138" i="1" a="1"/>
  <c r="F139" i="1" a="1"/>
  <c r="F140" i="1" a="1"/>
  <c r="F141" i="1" a="1"/>
  <c r="F142" i="1" a="1"/>
  <c r="F143" i="1" a="1"/>
  <c r="F144" i="1" a="1"/>
  <c r="F145" i="1" a="1"/>
  <c r="F146" i="1" a="1"/>
  <c r="F147" i="1" a="1"/>
  <c r="F148" i="1" a="1"/>
  <c r="F149" i="1" a="1"/>
  <c r="F150" i="1" a="1"/>
  <c r="F151" i="1" a="1"/>
  <c r="F152" i="1" a="1"/>
  <c r="F153" i="1" a="1"/>
  <c r="F154" i="1" a="1"/>
  <c r="F155" i="1" a="1"/>
  <c r="F156" i="1" a="1"/>
  <c r="F157" i="1" a="1"/>
  <c r="F158" i="1" a="1"/>
  <c r="F159" i="1" a="1"/>
  <c r="F160" i="1" a="1"/>
  <c r="F161" i="1" a="1"/>
  <c r="F162" i="1" a="1"/>
  <c r="F163" i="1" a="1"/>
  <c r="F164" i="1" a="1"/>
  <c r="F165" i="1" a="1"/>
  <c r="F166" i="1" a="1"/>
  <c r="F167" i="1" a="1"/>
  <c r="F168" i="1" a="1"/>
  <c r="F169" i="1" a="1"/>
  <c r="F170" i="1" a="1"/>
  <c r="F171" i="1" a="1"/>
  <c r="F172" i="1" a="1"/>
  <c r="F173" i="1" a="1"/>
  <c r="F174" i="1" a="1"/>
  <c r="F175" i="1" a="1"/>
  <c r="F176" i="1" a="1"/>
  <c r="F177" i="1" a="1"/>
  <c r="F178" i="1" a="1"/>
  <c r="F179" i="1" a="1"/>
  <c r="F180" i="1" a="1"/>
  <c r="F181" i="1" a="1"/>
  <c r="F182" i="1" a="1"/>
  <c r="F183" i="1" a="1"/>
  <c r="F184" i="1" a="1"/>
  <c r="F185" i="1" a="1"/>
  <c r="F186" i="1" a="1"/>
  <c r="F187" i="1" a="1"/>
  <c r="F188" i="1" a="1"/>
  <c r="F189" i="1" a="1"/>
  <c r="F190" i="1" a="1"/>
  <c r="F191" i="1" a="1"/>
  <c r="F192" i="1" a="1"/>
  <c r="F193" i="1" a="1"/>
  <c r="F194" i="1" a="1"/>
  <c r="F195" i="1" a="1"/>
  <c r="F196" i="1" a="1"/>
  <c r="F197" i="1" a="1"/>
  <c r="F198" i="1" a="1"/>
  <c r="F199" i="1" a="1"/>
  <c r="F200" i="1" a="1"/>
  <c r="F201" i="1" a="1"/>
  <c r="F202" i="1" a="1"/>
  <c r="F203" i="1" a="1"/>
  <c r="F204" i="1" a="1"/>
  <c r="F205" i="1" a="1"/>
  <c r="F206" i="1" a="1"/>
  <c r="F207" i="1" a="1"/>
  <c r="F208" i="1" a="1"/>
  <c r="F209" i="1" a="1"/>
  <c r="F210" i="1" a="1"/>
  <c r="F211" i="1" a="1"/>
  <c r="F212" i="1" a="1"/>
  <c r="F213" i="1" a="1"/>
  <c r="F214" i="1" a="1"/>
  <c r="F215" i="1" a="1"/>
  <c r="F216" i="1" a="1"/>
  <c r="F217" i="1" a="1"/>
  <c r="F218" i="1" a="1"/>
  <c r="F219" i="1" a="1"/>
  <c r="F220" i="1" a="1"/>
  <c r="F221" i="1" a="1"/>
  <c r="F222" i="1" a="1"/>
  <c r="F223" i="1" a="1"/>
  <c r="F224" i="1" a="1"/>
  <c r="F225" i="1" a="1"/>
  <c r="F226" i="1" a="1"/>
  <c r="F227" i="1" a="1"/>
  <c r="F228" i="1" a="1"/>
  <c r="F229" i="1" a="1"/>
  <c r="F230" i="1" a="1"/>
  <c r="F231" i="1" a="1"/>
  <c r="F232" i="1" a="1"/>
  <c r="F233" i="1" a="1"/>
  <c r="F234" i="1" a="1"/>
  <c r="F235" i="1" a="1"/>
  <c r="F236" i="1" a="1"/>
  <c r="F237" i="1" a="1"/>
  <c r="F238" i="1" a="1"/>
  <c r="F239" i="1" a="1"/>
  <c r="F240" i="1" a="1"/>
  <c r="F241" i="1" a="1"/>
  <c r="F242" i="1" a="1"/>
  <c r="F243" i="1" a="1"/>
  <c r="F244" i="1" a="1"/>
  <c r="F245" i="1" a="1"/>
  <c r="F246" i="1" a="1"/>
  <c r="F247" i="1" a="1"/>
  <c r="F248" i="1" a="1"/>
  <c r="F249" i="1" a="1"/>
  <c r="F250" i="1" a="1"/>
  <c r="F251" i="1" a="1"/>
  <c r="F252" i="1" a="1"/>
  <c r="F253" i="1" a="1"/>
  <c r="F254" i="1" a="1"/>
  <c r="F255" i="1" a="1"/>
  <c r="F256" i="1" a="1"/>
  <c r="F257" i="1" a="1"/>
  <c r="F258" i="1" a="1"/>
  <c r="F259" i="1" a="1"/>
  <c r="F260" i="1" a="1"/>
  <c r="F261" i="1" a="1"/>
  <c r="F262" i="1" a="1"/>
  <c r="F263" i="1" a="1"/>
  <c r="F264" i="1" a="1"/>
  <c r="F265" i="1" a="1"/>
  <c r="F266" i="1" a="1"/>
  <c r="F267" i="1" a="1"/>
  <c r="F268" i="1" a="1"/>
  <c r="F269" i="1" a="1"/>
  <c r="F270" i="1" a="1"/>
  <c r="F271" i="1" a="1"/>
  <c r="F272" i="1" a="1"/>
  <c r="F273" i="1" a="1"/>
  <c r="F274" i="1" a="1"/>
  <c r="F275" i="1" a="1"/>
  <c r="F276" i="1" a="1"/>
  <c r="F277" i="1" a="1"/>
  <c r="F278" i="1" a="1"/>
  <c r="F279" i="1" a="1"/>
  <c r="F280" i="1" a="1"/>
  <c r="F281" i="1" a="1"/>
  <c r="F282" i="1" a="1"/>
  <c r="F283" i="1" a="1"/>
  <c r="F284" i="1" a="1"/>
  <c r="F285" i="1" a="1"/>
  <c r="F286" i="1" a="1"/>
  <c r="F287" i="1" a="1"/>
  <c r="F288" i="1" a="1"/>
  <c r="F289" i="1" a="1"/>
  <c r="F290" i="1" a="1"/>
  <c r="F291" i="1" a="1"/>
  <c r="F292" i="1" a="1"/>
  <c r="F293" i="1" a="1"/>
  <c r="F294" i="1" a="1"/>
  <c r="F295" i="1" a="1"/>
  <c r="F296" i="1" a="1"/>
  <c r="F297" i="1" a="1"/>
  <c r="F298" i="1" a="1"/>
  <c r="F299" i="1" a="1"/>
  <c r="F300" i="1" a="1"/>
  <c r="F301" i="1" a="1"/>
  <c r="F302" i="1" a="1"/>
  <c r="F303" i="1" a="1"/>
  <c r="F304" i="1" a="1"/>
  <c r="F305" i="1" a="1"/>
  <c r="F306" i="1" a="1"/>
  <c r="F307" i="1" a="1"/>
  <c r="F308" i="1" a="1"/>
  <c r="F309" i="1" a="1"/>
  <c r="F310" i="1" a="1"/>
  <c r="F311" i="1" a="1"/>
  <c r="F312" i="1" a="1"/>
  <c r="F313" i="1" a="1"/>
  <c r="F314" i="1" a="1"/>
  <c r="F315" i="1" a="1"/>
  <c r="F316" i="1" a="1"/>
  <c r="F317" i="1" a="1"/>
  <c r="F318" i="1" a="1"/>
  <c r="F319" i="1" a="1"/>
  <c r="F320" i="1" a="1"/>
  <c r="F321" i="1" a="1"/>
  <c r="F322" i="1" a="1"/>
  <c r="F323" i="1" a="1"/>
  <c r="F324" i="1" a="1"/>
  <c r="F325" i="1" a="1"/>
  <c r="F326" i="1" a="1"/>
  <c r="F327" i="1" a="1"/>
  <c r="F328" i="1" a="1"/>
  <c r="F329" i="1" a="1"/>
  <c r="F330" i="1" a="1"/>
  <c r="F331" i="1" a="1"/>
  <c r="F332" i="1" a="1"/>
  <c r="F333" i="1" a="1"/>
  <c r="F334" i="1" a="1"/>
  <c r="F335" i="1" a="1"/>
  <c r="F336" i="1" a="1"/>
  <c r="F337" i="1" a="1"/>
  <c r="F338" i="1" a="1"/>
  <c r="F339" i="1" a="1"/>
  <c r="F340" i="1" a="1"/>
  <c r="F341" i="1" a="1"/>
  <c r="F342" i="1" a="1"/>
  <c r="F343" i="1" a="1"/>
  <c r="F344" i="1" a="1"/>
  <c r="F345" i="1" a="1"/>
  <c r="F346" i="1" a="1"/>
  <c r="F347" i="1" a="1"/>
  <c r="F348" i="1" a="1"/>
  <c r="F349" i="1" a="1"/>
  <c r="F350" i="1" a="1"/>
  <c r="F351" i="1" a="1"/>
  <c r="F352" i="1" a="1"/>
  <c r="F353" i="1" a="1"/>
  <c r="F354" i="1" a="1"/>
  <c r="F355" i="1" a="1"/>
  <c r="F356" i="1" a="1"/>
  <c r="F357" i="1" a="1"/>
  <c r="F358" i="1" a="1"/>
  <c r="F359" i="1" a="1"/>
  <c r="F360" i="1" a="1"/>
  <c r="F361" i="1" a="1"/>
  <c r="F362" i="1" a="1"/>
  <c r="F363" i="1" a="1"/>
  <c r="F364" i="1" a="1"/>
  <c r="F365" i="1" a="1"/>
  <c r="F366" i="1" a="1"/>
  <c r="F367" i="1" a="1"/>
  <c r="F368" i="1" a="1"/>
  <c r="F369" i="1" a="1"/>
  <c r="F370" i="1" a="1"/>
  <c r="F371" i="1" a="1"/>
  <c r="F372" i="1" a="1"/>
  <c r="F373" i="1" a="1"/>
  <c r="F374" i="1" a="1"/>
  <c r="F375" i="1" a="1"/>
  <c r="F376" i="1" a="1"/>
  <c r="F377" i="1" a="1"/>
  <c r="F378" i="1" a="1"/>
  <c r="F379" i="1" a="1"/>
  <c r="F380" i="1" a="1"/>
  <c r="F381" i="1" a="1"/>
  <c r="F382" i="1" a="1"/>
  <c r="F383" i="1" a="1"/>
  <c r="F384" i="1" a="1"/>
  <c r="F385" i="1" a="1"/>
  <c r="F386" i="1" a="1"/>
  <c r="F387" i="1" a="1"/>
  <c r="F388" i="1" a="1"/>
  <c r="F389" i="1" a="1"/>
  <c r="F390" i="1" a="1"/>
  <c r="F391" i="1" a="1"/>
  <c r="F392" i="1" a="1"/>
  <c r="F393" i="1" a="1"/>
  <c r="F394" i="1" a="1"/>
  <c r="F395" i="1" a="1"/>
  <c r="F396" i="1" a="1"/>
  <c r="F397" i="1" a="1"/>
  <c r="F398" i="1" a="1"/>
  <c r="F399" i="1" a="1"/>
  <c r="F400" i="1" a="1"/>
  <c r="F401" i="1" a="1"/>
  <c r="F402" i="1" a="1"/>
  <c r="F403" i="1" a="1"/>
  <c r="F404" i="1" a="1"/>
  <c r="F405" i="1" a="1"/>
  <c r="F406" i="1" a="1"/>
  <c r="F407" i="1" a="1"/>
  <c r="F408" i="1" a="1"/>
  <c r="F409" i="1" a="1"/>
  <c r="F410" i="1" a="1"/>
  <c r="F411" i="1" a="1"/>
  <c r="F412" i="1" a="1"/>
  <c r="F413" i="1" a="1"/>
  <c r="F414" i="1" a="1"/>
  <c r="F415" i="1" a="1"/>
  <c r="F416" i="1" a="1"/>
  <c r="F417" i="1" a="1"/>
  <c r="F418" i="1" a="1"/>
  <c r="F419" i="1" a="1"/>
  <c r="F420" i="1" a="1"/>
  <c r="F421" i="1" a="1"/>
  <c r="F422" i="1" a="1"/>
  <c r="F423" i="1" a="1"/>
  <c r="F424" i="1" a="1"/>
  <c r="F425" i="1" a="1"/>
  <c r="F426" i="1" a="1"/>
  <c r="F427" i="1" a="1"/>
  <c r="F428" i="1" a="1"/>
  <c r="F429" i="1" a="1"/>
  <c r="F430" i="1" a="1"/>
  <c r="F431" i="1" a="1"/>
  <c r="F432" i="1" a="1"/>
  <c r="F433" i="1" a="1"/>
  <c r="F434" i="1" a="1"/>
  <c r="F435" i="1" a="1"/>
  <c r="F436" i="1" a="1"/>
  <c r="F437" i="1" a="1"/>
  <c r="F438" i="1" a="1"/>
  <c r="F439" i="1" a="1"/>
  <c r="F440" i="1" a="1"/>
  <c r="F441" i="1" a="1"/>
  <c r="F442" i="1" a="1"/>
  <c r="F443" i="1" a="1"/>
  <c r="F444" i="1" a="1"/>
  <c r="F445" i="1" a="1"/>
  <c r="F446" i="1" a="1"/>
  <c r="F447" i="1" a="1"/>
  <c r="F448" i="1" a="1"/>
  <c r="F449" i="1" a="1"/>
  <c r="F450" i="1" a="1"/>
  <c r="F451" i="1" a="1"/>
  <c r="F452" i="1" a="1"/>
  <c r="F453" i="1" a="1"/>
  <c r="F454" i="1" a="1"/>
  <c r="F455" i="1" a="1"/>
  <c r="F456" i="1" a="1"/>
  <c r="F457" i="1" a="1"/>
  <c r="F458" i="1" a="1"/>
  <c r="F459" i="1" a="1"/>
  <c r="F460" i="1" a="1"/>
  <c r="F461" i="1" a="1"/>
  <c r="F462" i="1" a="1"/>
  <c r="F463" i="1" a="1"/>
  <c r="F464" i="1" a="1"/>
  <c r="F465" i="1" a="1"/>
  <c r="F466" i="1" a="1"/>
  <c r="F467" i="1" a="1"/>
  <c r="F468" i="1" a="1"/>
  <c r="F469" i="1" a="1"/>
  <c r="F470" i="1" a="1"/>
  <c r="F471" i="1" a="1"/>
  <c r="F472" i="1" a="1"/>
  <c r="F473" i="1" a="1"/>
  <c r="F474" i="1" a="1"/>
  <c r="F475" i="1" a="1"/>
  <c r="F476" i="1" a="1"/>
  <c r="F477" i="1" a="1"/>
  <c r="F478" i="1" a="1"/>
  <c r="F479" i="1" a="1"/>
  <c r="F480" i="1" a="1"/>
  <c r="F481" i="1" a="1"/>
  <c r="F482" i="1" a="1"/>
  <c r="F483" i="1" a="1"/>
  <c r="F484" i="1" a="1"/>
  <c r="F485" i="1" a="1"/>
  <c r="F486" i="1" a="1"/>
  <c r="F487" i="1" a="1"/>
  <c r="F488" i="1" a="1"/>
  <c r="F489" i="1" a="1"/>
  <c r="F490" i="1" a="1"/>
  <c r="F491" i="1" a="1"/>
  <c r="F492" i="1" a="1"/>
  <c r="F493" i="1" a="1"/>
  <c r="F494" i="1" a="1"/>
  <c r="F495" i="1" a="1"/>
  <c r="F496" i="1" a="1"/>
  <c r="F497" i="1" a="1"/>
  <c r="F498" i="1" a="1"/>
  <c r="F499" i="1" a="1"/>
  <c r="F500" i="1" a="1"/>
  <c r="F501" i="1" a="1"/>
  <c r="F502" i="1" a="1"/>
  <c r="F503" i="1" a="1"/>
  <c r="F504" i="1" a="1"/>
  <c r="F505" i="1" a="1"/>
  <c r="F506" i="1" a="1"/>
  <c r="F507" i="1" a="1"/>
  <c r="F508" i="1" a="1"/>
  <c r="F509" i="1" a="1"/>
  <c r="F510" i="1" a="1"/>
  <c r="F511" i="1" a="1"/>
  <c r="F512" i="1" a="1"/>
  <c r="F513" i="1" a="1"/>
  <c r="F514" i="1" a="1"/>
  <c r="F515" i="1" a="1"/>
  <c r="F516" i="1" a="1"/>
  <c r="F517" i="1" a="1"/>
  <c r="F518" i="1" a="1"/>
  <c r="F519" i="1" a="1"/>
  <c r="F520" i="1" a="1"/>
  <c r="F521" i="1" a="1"/>
  <c r="F522" i="1" a="1"/>
  <c r="F523" i="1" a="1"/>
  <c r="F524" i="1" a="1"/>
  <c r="F525" i="1" a="1"/>
  <c r="F526" i="1" a="1"/>
  <c r="F527" i="1" a="1"/>
  <c r="F528" i="1" a="1"/>
  <c r="F529" i="1" a="1"/>
  <c r="F530" i="1" a="1"/>
  <c r="F531" i="1" a="1"/>
  <c r="F532" i="1" a="1"/>
  <c r="F533" i="1" a="1"/>
  <c r="F534" i="1" a="1"/>
  <c r="F535" i="1" a="1"/>
  <c r="F536" i="1" a="1"/>
  <c r="F537" i="1" a="1"/>
  <c r="F538" i="1" a="1"/>
  <c r="F539" i="1" a="1"/>
  <c r="F540" i="1" a="1"/>
  <c r="F541" i="1" a="1"/>
  <c r="F542" i="1" a="1"/>
  <c r="F543" i="1" a="1"/>
  <c r="F544" i="1" a="1"/>
  <c r="F545" i="1" a="1"/>
  <c r="F546" i="1" a="1"/>
  <c r="F547" i="1" a="1"/>
  <c r="F548" i="1" a="1"/>
  <c r="F549" i="1" a="1"/>
  <c r="F550" i="1" a="1"/>
  <c r="F551" i="1" a="1"/>
  <c r="F552" i="1" a="1"/>
  <c r="F553" i="1" a="1"/>
  <c r="F554" i="1" a="1"/>
  <c r="F555" i="1" a="1"/>
  <c r="F556" i="1" a="1"/>
  <c r="F557" i="1" a="1"/>
  <c r="F558" i="1" a="1"/>
  <c r="F559" i="1" a="1"/>
  <c r="F560" i="1" a="1"/>
  <c r="F561" i="1" a="1"/>
  <c r="F562" i="1" a="1"/>
  <c r="F563" i="1" a="1"/>
  <c r="F564" i="1" a="1"/>
  <c r="F565" i="1" a="1"/>
  <c r="F566" i="1" a="1"/>
  <c r="F567" i="1" a="1"/>
  <c r="F568" i="1" a="1"/>
  <c r="F569" i="1" a="1"/>
  <c r="F570" i="1" a="1"/>
  <c r="F571" i="1" a="1"/>
  <c r="F572" i="1" a="1"/>
  <c r="F573" i="1" a="1"/>
  <c r="F574" i="1" a="1"/>
  <c r="F575" i="1" a="1"/>
  <c r="F576" i="1" a="1"/>
  <c r="F577" i="1" a="1"/>
  <c r="F578" i="1" a="1"/>
  <c r="F579" i="1" a="1"/>
  <c r="F580" i="1" a="1"/>
  <c r="F581" i="1" a="1"/>
  <c r="F582" i="1" a="1"/>
  <c r="F583" i="1" a="1"/>
  <c r="F584" i="1" a="1"/>
  <c r="F585" i="1" a="1"/>
  <c r="F586" i="1" a="1"/>
  <c r="F587" i="1" a="1"/>
  <c r="I600" i="1" a="1"/>
  <c r="H600" i="1" a="1"/>
  <c r="G60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T600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AC60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<sst xmlns="http://schemas.openxmlformats.org/spreadsheetml/2006/main" count="2455" uniqueCount="895">
  <si>
    <t>Streams Category</t>
  </si>
  <si>
    <t>Average of Energy</t>
  </si>
  <si>
    <t>Average of Danceability</t>
  </si>
  <si>
    <t>Average of Valence</t>
  </si>
  <si>
    <t>Average of Bpm</t>
  </si>
  <si>
    <t>1B+</t>
  </si>
  <si>
    <t>Genre</t>
  </si>
  <si>
    <t>Average of Streams</t>
  </si>
  <si>
    <t>Sum of In Spotify Playlists</t>
  </si>
  <si>
    <t>Sum of In Apple Playlists</t>
  </si>
  <si>
    <t>Sum of In Deezer Playlists</t>
  </si>
  <si>
    <t>Sum of In YouTube Playlists</t>
  </si>
  <si>
    <t>250M–500M</t>
  </si>
  <si>
    <t>Soul</t>
  </si>
  <si>
    <t>500M–1B</t>
  </si>
  <si>
    <t>Alternative R&amp;B</t>
  </si>
  <si>
    <t>Under 250M</t>
  </si>
  <si>
    <t>Irish Singer-Songwriter</t>
  </si>
  <si>
    <t>Grand Total</t>
  </si>
  <si>
    <t>EDM</t>
  </si>
  <si>
    <t>Celtic Rock</t>
  </si>
  <si>
    <t>Danish Pop</t>
  </si>
  <si>
    <t>Electronic Trap</t>
  </si>
  <si>
    <t>Canadian Contemporary R&amp;B</t>
  </si>
  <si>
    <t>Electropop</t>
  </si>
  <si>
    <t>Pop</t>
  </si>
  <si>
    <t>Artist</t>
  </si>
  <si>
    <t>Sum of Streams</t>
  </si>
  <si>
    <t>Sum of Billboard Rankings</t>
  </si>
  <si>
    <t>Average of On Spotify Charts</t>
  </si>
  <si>
    <t>Average of On Apple Charts</t>
  </si>
  <si>
    <t>Ed Sheeran</t>
  </si>
  <si>
    <t>Maroon 5</t>
  </si>
  <si>
    <t>Shawn Mendes</t>
  </si>
  <si>
    <t>Calvin Harris</t>
  </si>
  <si>
    <t>The Chainsmokers</t>
  </si>
  <si>
    <t>Adele</t>
  </si>
  <si>
    <t>Justin Bieber</t>
  </si>
  <si>
    <t>Bruno Mars</t>
  </si>
  <si>
    <t>Rihanna</t>
  </si>
  <si>
    <t>Ariana Grande</t>
  </si>
  <si>
    <t>Song</t>
  </si>
  <si>
    <t>Year</t>
  </si>
  <si>
    <t>Streams</t>
  </si>
  <si>
    <t>In Spotify Playlists</t>
  </si>
  <si>
    <t>On Spotify Charts</t>
  </si>
  <si>
    <t>Billboard Rankings</t>
  </si>
  <si>
    <t>In Apple Playlists</t>
  </si>
  <si>
    <t>On Apple Charts</t>
  </si>
  <si>
    <t>In Deezer Playlists</t>
  </si>
  <si>
    <t>In Deezer Charts</t>
  </si>
  <si>
    <t>In YouTube Playlists</t>
  </si>
  <si>
    <t>On Shazam Charts</t>
  </si>
  <si>
    <t>Total Playlist Reach</t>
  </si>
  <si>
    <t>Bpm</t>
  </si>
  <si>
    <t>Decibel</t>
  </si>
  <si>
    <t>Mode</t>
  </si>
  <si>
    <t>Energy</t>
  </si>
  <si>
    <t>Danceability</t>
  </si>
  <si>
    <t>Liveness</t>
  </si>
  <si>
    <t>Valence</t>
  </si>
  <si>
    <t>Duration</t>
  </si>
  <si>
    <t>Track Length(MIN)</t>
  </si>
  <si>
    <t>Acousticness</t>
  </si>
  <si>
    <t>Speechiness</t>
  </si>
  <si>
    <t>Popularity</t>
  </si>
  <si>
    <t>Britney Spears</t>
  </si>
  <si>
    <t>Dance Pop</t>
  </si>
  <si>
    <t>Major</t>
  </si>
  <si>
    <t>Beyoncé</t>
  </si>
  <si>
    <t>#Beautiful</t>
  </si>
  <si>
    <t>Mariah Carey</t>
  </si>
  <si>
    <t>#SELFIE</t>
  </si>
  <si>
    <t>#thatPOWER</t>
  </si>
  <si>
    <t>will.i.am</t>
  </si>
  <si>
    <t>Minor</t>
  </si>
  <si>
    <t>...Ready For It? - BloodPop® Remix</t>
  </si>
  <si>
    <t>Taylor Swift</t>
  </si>
  <si>
    <t>1+1</t>
  </si>
  <si>
    <t>24K Magic</t>
  </si>
  <si>
    <t>2U (feat. Justin Bieber)</t>
  </si>
  <si>
    <t>David Guetta</t>
  </si>
  <si>
    <t>7 Years</t>
  </si>
  <si>
    <t>Lukas Graham</t>
  </si>
  <si>
    <t>A L I E N S</t>
  </si>
  <si>
    <t>Coldplay</t>
  </si>
  <si>
    <t>Permanent Wave</t>
  </si>
  <si>
    <t>A Little Party Never Killed Nobody (All We Got)</t>
  </si>
  <si>
    <t>Fergie</t>
  </si>
  <si>
    <t>A Sky Full of Stars</t>
  </si>
  <si>
    <t>A Thousand Years</t>
  </si>
  <si>
    <t>Christina Perri</t>
  </si>
  <si>
    <t>Adore You</t>
  </si>
  <si>
    <t>Miley Cyrus</t>
  </si>
  <si>
    <t>Ain't Your Mama</t>
  </si>
  <si>
    <t>Jennifer Lopez</t>
  </si>
  <si>
    <t>Alejandro</t>
  </si>
  <si>
    <t>Lady Gaga</t>
  </si>
  <si>
    <t>Alive</t>
  </si>
  <si>
    <t>Sia</t>
  </si>
  <si>
    <t>Australian Dance</t>
  </si>
  <si>
    <t>All About That Bass</t>
  </si>
  <si>
    <t>Meghan Trainor</t>
  </si>
  <si>
    <t>All Around The World (La La La)</t>
  </si>
  <si>
    <t>R3HAB</t>
  </si>
  <si>
    <t>Big Room</t>
  </si>
  <si>
    <t>All I Ask</t>
  </si>
  <si>
    <t>British Soul</t>
  </si>
  <si>
    <t>All of Me</t>
  </si>
  <si>
    <t>John Legend</t>
  </si>
  <si>
    <t>Neo Mellow</t>
  </si>
  <si>
    <t>All The Right Moves</t>
  </si>
  <si>
    <t>OneRepublic</t>
  </si>
  <si>
    <t>All We Know</t>
  </si>
  <si>
    <t>American Oxygen</t>
  </si>
  <si>
    <t>Barbadian Pop</t>
  </si>
  <si>
    <t>Anaconda</t>
  </si>
  <si>
    <t>Nicki Minaj</t>
  </si>
  <si>
    <t>Angel</t>
  </si>
  <si>
    <t>Fifth Harmony</t>
  </si>
  <si>
    <t>Animal</t>
  </si>
  <si>
    <t>Neon Trees</t>
  </si>
  <si>
    <t>Indie Pop</t>
  </si>
  <si>
    <t>Animals</t>
  </si>
  <si>
    <t>Antisocial (with Travis Scott)</t>
  </si>
  <si>
    <t>Anything Could Happen</t>
  </si>
  <si>
    <t>Ellie Goulding</t>
  </si>
  <si>
    <t>Anywhere</t>
  </si>
  <si>
    <t>Rita Ora</t>
  </si>
  <si>
    <t>Applause</t>
  </si>
  <si>
    <t>Atlas - From The Hunger Games: Catching Fire Soundtrack</t>
  </si>
  <si>
    <t>Attention</t>
  </si>
  <si>
    <t>Charlie Puth</t>
  </si>
  <si>
    <t>Baby</t>
  </si>
  <si>
    <t>Canadian Pop</t>
  </si>
  <si>
    <t>Baby Don't Lie</t>
  </si>
  <si>
    <t>Gwen Stefani</t>
  </si>
  <si>
    <t>Bad At Love</t>
  </si>
  <si>
    <t>Halsey</t>
  </si>
  <si>
    <t>Bad Liar</t>
  </si>
  <si>
    <t>Selena Gomez</t>
  </si>
  <si>
    <t>Bad Romance</t>
  </si>
  <si>
    <t>Bang Bang</t>
  </si>
  <si>
    <t>Jessie J</t>
  </si>
  <si>
    <t>Australian Pop</t>
  </si>
  <si>
    <t>Bang My Head (feat. Sia &amp; Fetty Wap)</t>
  </si>
  <si>
    <t>Beautiful Birds (feat. Birdy)</t>
  </si>
  <si>
    <t>Passenger</t>
  </si>
  <si>
    <t>Folk-Pop</t>
  </si>
  <si>
    <t>Beautiful People (feat. Khalid)</t>
  </si>
  <si>
    <t>Beauty And A Beat</t>
  </si>
  <si>
    <t>Been You</t>
  </si>
  <si>
    <t>Behind Your Back</t>
  </si>
  <si>
    <t>Nelly Furtado</t>
  </si>
  <si>
    <t>Canadian Latin</t>
  </si>
  <si>
    <t>Beneath Your Beautiful</t>
  </si>
  <si>
    <t>Labrinth</t>
  </si>
  <si>
    <t>Best Song Ever</t>
  </si>
  <si>
    <t>One Direction</t>
  </si>
  <si>
    <t>Boy Band</t>
  </si>
  <si>
    <t>Best Thing I Never Had</t>
  </si>
  <si>
    <t>Birthday</t>
  </si>
  <si>
    <t>Katy Perry</t>
  </si>
  <si>
    <t>Blah Blah Blah (feat. 3OH!3)</t>
  </si>
  <si>
    <t>Kesha</t>
  </si>
  <si>
    <t>Blame</t>
  </si>
  <si>
    <t>Bloodstream</t>
  </si>
  <si>
    <t>Blow</t>
  </si>
  <si>
    <t>Blow Me (One Last Kiss)</t>
  </si>
  <si>
    <t>P!nk</t>
  </si>
  <si>
    <t>Blown</t>
  </si>
  <si>
    <t>DNCE</t>
  </si>
  <si>
    <t>Blurred Lines</t>
  </si>
  <si>
    <t>Robin Thicke</t>
  </si>
  <si>
    <t>BO$$</t>
  </si>
  <si>
    <t>Bodak Yellow</t>
  </si>
  <si>
    <t>Cardi B</t>
  </si>
  <si>
    <t>Body Moves</t>
  </si>
  <si>
    <t>Body Say</t>
  </si>
  <si>
    <t>Demi Lovato</t>
  </si>
  <si>
    <t>Bon appétit</t>
  </si>
  <si>
    <t>Boom Boom</t>
  </si>
  <si>
    <t>RedOne</t>
  </si>
  <si>
    <t>Moroccan Pop</t>
  </si>
  <si>
    <t>Boom Clap - From the Motion Picture Das Schicksal ist ein mieser Verräter</t>
  </si>
  <si>
    <t>Charli XCX</t>
  </si>
  <si>
    <t>Candy Pop</t>
  </si>
  <si>
    <t>Booty</t>
  </si>
  <si>
    <t>Born This Way</t>
  </si>
  <si>
    <t>Bound To You - Burlesque Original Motion Picture Soundtrack</t>
  </si>
  <si>
    <t>Christina Aguilera</t>
  </si>
  <si>
    <t>Boyfriend</t>
  </si>
  <si>
    <t>Brave</t>
  </si>
  <si>
    <t>Sara Bareilles</t>
  </si>
  <si>
    <t>Acoustic Pop</t>
  </si>
  <si>
    <t>Break Free</t>
  </si>
  <si>
    <t>Break Your Heart</t>
  </si>
  <si>
    <t>Taio Cruz</t>
  </si>
  <si>
    <t>Broken Arrows</t>
  </si>
  <si>
    <t>Avicii</t>
  </si>
  <si>
    <t>Burn</t>
  </si>
  <si>
    <t>BURNITUP!</t>
  </si>
  <si>
    <t>Janet Jackson</t>
  </si>
  <si>
    <t>Cake By The Ocean</t>
  </si>
  <si>
    <t>California Gurls</t>
  </si>
  <si>
    <t>Call Me Maybe</t>
  </si>
  <si>
    <t>Carly Rae Jepsen</t>
  </si>
  <si>
    <t>Call You Mine</t>
  </si>
  <si>
    <t>Came Here for Love</t>
  </si>
  <si>
    <t>Sigala</t>
  </si>
  <si>
    <t>Cannonball</t>
  </si>
  <si>
    <t>Lea Michele</t>
  </si>
  <si>
    <t>Hollywood</t>
  </si>
  <si>
    <t>Can't Hold Us (feat. Ray Dalton)</t>
  </si>
  <si>
    <t>Macklemore &amp; Ryan Lewis</t>
  </si>
  <si>
    <t>Can't Remember to Forget You (feat. Rihanna)</t>
  </si>
  <si>
    <t>Shakira</t>
  </si>
  <si>
    <t>Colombian Pop</t>
  </si>
  <si>
    <t>CAN'T STOP THE FEELING! (Original Song from DreamWorks Animation's "TROLLS")</t>
  </si>
  <si>
    <t>Justin Timberlake</t>
  </si>
  <si>
    <t>Capital Letters</t>
  </si>
  <si>
    <t>Hailee Steinfeld</t>
  </si>
  <si>
    <t>Castle Walls (feat. Christina Aguilera)</t>
  </si>
  <si>
    <t>T.I.</t>
  </si>
  <si>
    <t>Atl Hip Hop</t>
  </si>
  <si>
    <t>Celebrate (From the Original Motion Picture "Penguins of Madagascar")</t>
  </si>
  <si>
    <t>Pitbull</t>
  </si>
  <si>
    <t>Chained To The Rhythm</t>
  </si>
  <si>
    <t>Champagne Problems</t>
  </si>
  <si>
    <t>Nick Jonas</t>
  </si>
  <si>
    <t>Chandelier</t>
  </si>
  <si>
    <t>Change</t>
  </si>
  <si>
    <t>Cheap Thrills</t>
  </si>
  <si>
    <t>Cheers (Drink To That)</t>
  </si>
  <si>
    <t>Chun-Li</t>
  </si>
  <si>
    <t>Clarity</t>
  </si>
  <si>
    <t>Zedd</t>
  </si>
  <si>
    <t>Complextro</t>
  </si>
  <si>
    <t>Close</t>
  </si>
  <si>
    <t>Closer</t>
  </si>
  <si>
    <t>Clown</t>
  </si>
  <si>
    <t>Emeli Sandé</t>
  </si>
  <si>
    <t>Club Can't Handle Me (feat. David Guetta)</t>
  </si>
  <si>
    <t>Flo Rida</t>
  </si>
  <si>
    <t>Cold (feat. Future)</t>
  </si>
  <si>
    <t>Cold Water (feat. Justin Bieber &amp; MØ)</t>
  </si>
  <si>
    <t>Major Lazer</t>
  </si>
  <si>
    <t>Come &amp; Get It</t>
  </si>
  <si>
    <t>Come Get It Bae</t>
  </si>
  <si>
    <t>Pharrell Williams</t>
  </si>
  <si>
    <t>Company</t>
  </si>
  <si>
    <t>Con Calma - Remix</t>
  </si>
  <si>
    <t>Daddy Yankee</t>
  </si>
  <si>
    <t>Latin</t>
  </si>
  <si>
    <t>Confident</t>
  </si>
  <si>
    <t>Cool Girl</t>
  </si>
  <si>
    <t>Tove Lo</t>
  </si>
  <si>
    <t>Cooler Than Me - Single Mix</t>
  </si>
  <si>
    <t>Mike Posner</t>
  </si>
  <si>
    <t>Crazy Kids (feat. will.i.am)</t>
  </si>
  <si>
    <t>Cross Me (feat. Chance the Rapper &amp; PnB Rock)</t>
  </si>
  <si>
    <t>Cruel (feat. ZAYN)</t>
  </si>
  <si>
    <t>Snakehips</t>
  </si>
  <si>
    <t>Crying in the Club</t>
  </si>
  <si>
    <t>Camila Cabello</t>
  </si>
  <si>
    <t>Cut To The Feeling</t>
  </si>
  <si>
    <t>Dance Again</t>
  </si>
  <si>
    <t>Dangerous</t>
  </si>
  <si>
    <t>Jennifer Hudson</t>
  </si>
  <si>
    <t>Dangerous Woman</t>
  </si>
  <si>
    <t>Dark Horse</t>
  </si>
  <si>
    <t>Daylight</t>
  </si>
  <si>
    <t>Dear Future Husband</t>
  </si>
  <si>
    <t>Desire</t>
  </si>
  <si>
    <t>Years &amp; Years</t>
  </si>
  <si>
    <t>Despacito - Remix</t>
  </si>
  <si>
    <t>Luis Fonsi</t>
  </si>
  <si>
    <t>Diamonds</t>
  </si>
  <si>
    <t>Die Young</t>
  </si>
  <si>
    <t>DJ Got Us Fallin' In Love (feat. Pitbull)</t>
  </si>
  <si>
    <t>Usher</t>
  </si>
  <si>
    <t>Do You Wanna Come Over?</t>
  </si>
  <si>
    <t>Doesn't Mean Anything</t>
  </si>
  <si>
    <t>Alicia Keys</t>
  </si>
  <si>
    <t>Hip Hop</t>
  </si>
  <si>
    <t>Dog Days Are Over</t>
  </si>
  <si>
    <t>Florence + The Machine</t>
  </si>
  <si>
    <t>Art Pop</t>
  </si>
  <si>
    <t>Domino</t>
  </si>
  <si>
    <t>Don't</t>
  </si>
  <si>
    <t>Don't Be A Fool</t>
  </si>
  <si>
    <t>Don't Be so Hard on Yourself</t>
  </si>
  <si>
    <t>Jess Glynne</t>
  </si>
  <si>
    <t>Don't Call Me Up</t>
  </si>
  <si>
    <t>Mabel</t>
  </si>
  <si>
    <t>Don't Let Me Down</t>
  </si>
  <si>
    <t>Don't Stop the Party (feat. TJR)</t>
  </si>
  <si>
    <t>Don't You Worry Child - Radio Edit</t>
  </si>
  <si>
    <t>Swedish House Mafia</t>
  </si>
  <si>
    <t>Downtown (feat. Melle Mel, Grandmaster Caz, Kool Moe Dee &amp; Eric Nally)</t>
  </si>
  <si>
    <t>Drip (feat. Migos)</t>
  </si>
  <si>
    <t>Drunk in Love</t>
  </si>
  <si>
    <t>Dusk Till Dawn - Radio Edit</t>
  </si>
  <si>
    <t>ZAYN</t>
  </si>
  <si>
    <t>Dynamite</t>
  </si>
  <si>
    <t>E.T.</t>
  </si>
  <si>
    <t>Earned It (Fifty Shades Of Grey) - From The "Fifty Shades Of Grey" Soundtrack</t>
  </si>
  <si>
    <t>The Weeknd</t>
  </si>
  <si>
    <t>Easy Love</t>
  </si>
  <si>
    <t>Eenie Meenie</t>
  </si>
  <si>
    <t>Sean Kingston</t>
  </si>
  <si>
    <t>Elastic Heart</t>
  </si>
  <si>
    <t>Electric Love</t>
  </si>
  <si>
    <t>BØRNS</t>
  </si>
  <si>
    <t>Electricity (with Dua Lipa)</t>
  </si>
  <si>
    <t>Silk City</t>
  </si>
  <si>
    <t>Empire State of Mind (Part II) Broken Down</t>
  </si>
  <si>
    <t>End Game</t>
  </si>
  <si>
    <t>Everybody Talks</t>
  </si>
  <si>
    <t>Familiar</t>
  </si>
  <si>
    <t>Liam Payne</t>
  </si>
  <si>
    <t>Fancy</t>
  </si>
  <si>
    <t>Iggy Azalea</t>
  </si>
  <si>
    <t>Australian Hip Hop</t>
  </si>
  <si>
    <t>Feel The Light - From The "Home" Soundtrack</t>
  </si>
  <si>
    <t>Feel This Moment (feat. Christina Aguilera)</t>
  </si>
  <si>
    <t>Ferrari</t>
  </si>
  <si>
    <t>Bebe Rexha</t>
  </si>
  <si>
    <t>Filthy</t>
  </si>
  <si>
    <t>Final Song</t>
  </si>
  <si>
    <t>MØ</t>
  </si>
  <si>
    <t>Finally Found You</t>
  </si>
  <si>
    <t>Enrique Iglesias</t>
  </si>
  <si>
    <t>Find U Again (feat. Camila Cabello)</t>
  </si>
  <si>
    <t>Mark Ronson</t>
  </si>
  <si>
    <t>Finesse - Remix; feat. Cardi B</t>
  </si>
  <si>
    <t>Fireball (feat. John Ryan)</t>
  </si>
  <si>
    <t>Firework</t>
  </si>
  <si>
    <t>First Time</t>
  </si>
  <si>
    <t>Kygo</t>
  </si>
  <si>
    <t>Focus</t>
  </si>
  <si>
    <t>Foolish Games</t>
  </si>
  <si>
    <t>Jewel</t>
  </si>
  <si>
    <t>Alaska Indie</t>
  </si>
  <si>
    <t>For You (With Rita Ora)</t>
  </si>
  <si>
    <t>FourFiveSeconds</t>
  </si>
  <si>
    <t>Freak</t>
  </si>
  <si>
    <t>Kelly Rowland</t>
  </si>
  <si>
    <t>Free Me</t>
  </si>
  <si>
    <t>Friends (with BloodPop®)</t>
  </si>
  <si>
    <t>G.U.Y.</t>
  </si>
  <si>
    <t>Genie In a Bottle</t>
  </si>
  <si>
    <t>Get Low (with Liam Payne)</t>
  </si>
  <si>
    <t>Get Lucky (feat. Pharrell Williams &amp; Nile Rodgers) - Radio Edit</t>
  </si>
  <si>
    <t>Daft Punk</t>
  </si>
  <si>
    <t>Electro</t>
  </si>
  <si>
    <t>Ghosttown</t>
  </si>
  <si>
    <t>Madonna</t>
  </si>
  <si>
    <t>Giant (with Rag'n'Bone Man)</t>
  </si>
  <si>
    <t>Girl On Fire (feat. Nicki Minaj) - Inferno Version</t>
  </si>
  <si>
    <t>Girls (feat. Cardi B, Bebe Rexha &amp; Charli XCX)</t>
  </si>
  <si>
    <t>Girls Like You (feat. Cardi B)</t>
  </si>
  <si>
    <t>Give It 2 U</t>
  </si>
  <si>
    <t>Give Me Everything</t>
  </si>
  <si>
    <t>Glad You Came</t>
  </si>
  <si>
    <t>The Wanted</t>
  </si>
  <si>
    <t>Good as Hell (feat. Ariana Grande) - Remix</t>
  </si>
  <si>
    <t>Lizzo</t>
  </si>
  <si>
    <t>Good Life</t>
  </si>
  <si>
    <t>Good Time</t>
  </si>
  <si>
    <t>Owl City</t>
  </si>
  <si>
    <t>Gorilla</t>
  </si>
  <si>
    <t>Greenlight (feat. Flo Rida &amp; LunchMoney Lewis)</t>
  </si>
  <si>
    <t>Grenade</t>
  </si>
  <si>
    <t>Hall of Fame</t>
  </si>
  <si>
    <t>The Script</t>
  </si>
  <si>
    <t>Hands To Myself</t>
  </si>
  <si>
    <t>Happier</t>
  </si>
  <si>
    <t>Marshmello</t>
  </si>
  <si>
    <t>Happy - From "Despicable Me 2"</t>
  </si>
  <si>
    <t>Hard</t>
  </si>
  <si>
    <t>Havana (feat. Young Thug)</t>
  </si>
  <si>
    <t>Heart Attack</t>
  </si>
  <si>
    <t>Heartbeat Song</t>
  </si>
  <si>
    <t>Kelly Clarkson</t>
  </si>
  <si>
    <t>Heartbreaker</t>
  </si>
  <si>
    <t>Hello</t>
  </si>
  <si>
    <t>Here</t>
  </si>
  <si>
    <t>Alessia Cara</t>
  </si>
  <si>
    <t>Heroes (we could be)</t>
  </si>
  <si>
    <t>Alesso</t>
  </si>
  <si>
    <t>Hey Brother</t>
  </si>
  <si>
    <t>Hey Mama (feat. Nicki Minaj, Bebe Rexha &amp; Afrojack)</t>
  </si>
  <si>
    <t>Hey, Soul Sister</t>
  </si>
  <si>
    <t>Train</t>
  </si>
  <si>
    <t>Higher</t>
  </si>
  <si>
    <t>Higher Love</t>
  </si>
  <si>
    <t>Him &amp; I (with Halsey)</t>
  </si>
  <si>
    <t>G-Eazy</t>
  </si>
  <si>
    <t>Hold It Against Me</t>
  </si>
  <si>
    <t>Hold On, We're Going Home</t>
  </si>
  <si>
    <t>Drake</t>
  </si>
  <si>
    <t>Canadian Hip Hop</t>
  </si>
  <si>
    <t>How Deep Is Your Love</t>
  </si>
  <si>
    <t>How Do You Sleep?</t>
  </si>
  <si>
    <t>Sam Smith</t>
  </si>
  <si>
    <t>How Far I'll Go - From "Moana"</t>
  </si>
  <si>
    <t>How Ya Doin'? (feat. Missy Elliott)</t>
  </si>
  <si>
    <t>Little Mix</t>
  </si>
  <si>
    <t>human</t>
  </si>
  <si>
    <t>Hurts</t>
  </si>
  <si>
    <t>I Dont Wanna Live Forever (Fifty Shades Darker)</t>
  </si>
  <si>
    <t>I Don't Care (with Justin Bieber)</t>
  </si>
  <si>
    <t>I Feel It Coming</t>
  </si>
  <si>
    <t>I Got You</t>
  </si>
  <si>
    <t>I Knew You Were Trouble.</t>
  </si>
  <si>
    <t>I Know What You Did Last Summer</t>
  </si>
  <si>
    <t>I Like It</t>
  </si>
  <si>
    <t>I Lived</t>
  </si>
  <si>
    <t>I Love It (feat. Charli XCX)</t>
  </si>
  <si>
    <t>Icona Pop</t>
  </si>
  <si>
    <t>I Luh Ya Papi</t>
  </si>
  <si>
    <t>I Really Like You</t>
  </si>
  <si>
    <t>I Took A Pill In Ibiza - Seeb Remix</t>
  </si>
  <si>
    <t>I Wanna Go</t>
  </si>
  <si>
    <t>I Want You To Know</t>
  </si>
  <si>
    <t>IDGAF</t>
  </si>
  <si>
    <t>Dua Lipa</t>
  </si>
  <si>
    <t>If I Had You</t>
  </si>
  <si>
    <t>Adam Lambert</t>
  </si>
  <si>
    <t>If I Lose Myself - Alesso vs OneRepublic</t>
  </si>
  <si>
    <t>I'll Show You</t>
  </si>
  <si>
    <t>I'm Into You</t>
  </si>
  <si>
    <t>I'm Not The Only One</t>
  </si>
  <si>
    <t>I'm the One (feat. Justin Bieber, Quavo, Chance the Rapper &amp; Lil Wayne)</t>
  </si>
  <si>
    <t>DJ Khaled</t>
  </si>
  <si>
    <t>Imma Be</t>
  </si>
  <si>
    <t>The Black Eyed Peas</t>
  </si>
  <si>
    <t>Impossible</t>
  </si>
  <si>
    <t>James Arthur</t>
  </si>
  <si>
    <t>In My Blood</t>
  </si>
  <si>
    <t>In the Name of Love</t>
  </si>
  <si>
    <t>Martin Garrix</t>
  </si>
  <si>
    <t>Influence</t>
  </si>
  <si>
    <t>International Love</t>
  </si>
  <si>
    <t>Into You</t>
  </si>
  <si>
    <t>Invading My Mind</t>
  </si>
  <si>
    <t>Invitation</t>
  </si>
  <si>
    <t>It Ain't Me (with Selena Gomez)</t>
  </si>
  <si>
    <t>It Will Rain</t>
  </si>
  <si>
    <t>It's On Again - Main Soundtrack</t>
  </si>
  <si>
    <t>Jar of Hearts</t>
  </si>
  <si>
    <t>Jealous - Remix</t>
  </si>
  <si>
    <t>Judas</t>
  </si>
  <si>
    <t>Just Cant Get Enough</t>
  </si>
  <si>
    <t>Just Give Me a Reason (feat. Nate Ruess)</t>
  </si>
  <si>
    <t>Just Like Fire (From the Original Motion Picture "Alice Through The Looking Glass")</t>
  </si>
  <si>
    <t>Just the Way You Are</t>
  </si>
  <si>
    <t>Keeping Your Head Up</t>
  </si>
  <si>
    <t>Birdy</t>
  </si>
  <si>
    <t>Kill Em With Kindness</t>
  </si>
  <si>
    <t>Kills You Slowly</t>
  </si>
  <si>
    <t>Kiss You</t>
  </si>
  <si>
    <t>Kissing Strangers</t>
  </si>
  <si>
    <t>Kissing Strangers - Remix</t>
  </si>
  <si>
    <t>L.A.LOVE (la la)</t>
  </si>
  <si>
    <t>La La La (Brasil 2014) (feat. Carlinhos Brown)</t>
  </si>
  <si>
    <t>Last Friday Night (T.G.I.F.)</t>
  </si>
  <si>
    <t>Latch</t>
  </si>
  <si>
    <t>Disclosure</t>
  </si>
  <si>
    <t>House</t>
  </si>
  <si>
    <t>Lay It All on Me</t>
  </si>
  <si>
    <t>Rudimental</t>
  </si>
  <si>
    <t>Legendary Lovers</t>
  </si>
  <si>
    <t>Lemon</t>
  </si>
  <si>
    <t>N.E.R.D</t>
  </si>
  <si>
    <t>Let Her Go</t>
  </si>
  <si>
    <t>Let It Go - From "Frozen / Single Version</t>
  </si>
  <si>
    <t>Let Me</t>
  </si>
  <si>
    <t>Let Me Be Your Lover</t>
  </si>
  <si>
    <t>Let Me Go (with Alesso, Florida Georgia Line &amp; watt)</t>
  </si>
  <si>
    <t>Let Me Love You</t>
  </si>
  <si>
    <t>DJ Snake</t>
  </si>
  <si>
    <t>Let Me Love You (Until You Learn To Love Yourself)</t>
  </si>
  <si>
    <t>Ne-Yo</t>
  </si>
  <si>
    <t>Light It Up (feat. Nyla &amp; Fuse ODG) [Remix]</t>
  </si>
  <si>
    <t>Lights - Single Version</t>
  </si>
  <si>
    <t>Like A G6</t>
  </si>
  <si>
    <t>Far East Movement</t>
  </si>
  <si>
    <t>LIKE I WOULD</t>
  </si>
  <si>
    <t>Like I'm Gonna Lose You (feat. John Legend)</t>
  </si>
  <si>
    <t>Lips Are Movin</t>
  </si>
  <si>
    <t>Little Lies</t>
  </si>
  <si>
    <t>Hilary Duff</t>
  </si>
  <si>
    <t>Live It Up</t>
  </si>
  <si>
    <t>Living For Love</t>
  </si>
  <si>
    <t>Loca</t>
  </si>
  <si>
    <t>Locked Out of Heaven</t>
  </si>
  <si>
    <t>Look What You Made Me Do</t>
  </si>
  <si>
    <t>Lose You To Love Me</t>
  </si>
  <si>
    <t>Lose Yourself to Dance</t>
  </si>
  <si>
    <t>Love</t>
  </si>
  <si>
    <t>Lana Del Rey</t>
  </si>
  <si>
    <t>Love Incredible (feat. Camila Cabello)</t>
  </si>
  <si>
    <t>Cashmere Cat</t>
  </si>
  <si>
    <t>Downtempo</t>
  </si>
  <si>
    <t>Love Me Again</t>
  </si>
  <si>
    <t>John Newman</t>
  </si>
  <si>
    <t>Love Me Harder</t>
  </si>
  <si>
    <t>Love Me Like You</t>
  </si>
  <si>
    <t>Love Me Like You Do - From "Fifty Shades Of Grey"</t>
  </si>
  <si>
    <t>Love Never Felt So Good</t>
  </si>
  <si>
    <t>Michael Jackson</t>
  </si>
  <si>
    <t>Love On The Brain</t>
  </si>
  <si>
    <t>Love On Top</t>
  </si>
  <si>
    <t>Love Runs Out</t>
  </si>
  <si>
    <t>Love Somebody</t>
  </si>
  <si>
    <t>Love The Way You Lie</t>
  </si>
  <si>
    <t>Eminem</t>
  </si>
  <si>
    <t>Detroit Hip Hop</t>
  </si>
  <si>
    <t>Love You Like A Love Song</t>
  </si>
  <si>
    <t>Selena Gomez &amp; The Scene</t>
  </si>
  <si>
    <t>Love Yourself</t>
  </si>
  <si>
    <t>Lust for Life (with The Weeknd)</t>
  </si>
  <si>
    <t>Made In The USA</t>
  </si>
  <si>
    <t>Make Me Like You</t>
  </si>
  <si>
    <t>Make Me... (feat. G-Eazy)</t>
  </si>
  <si>
    <t>Malibu</t>
  </si>
  <si>
    <t>Mama</t>
  </si>
  <si>
    <t>Jonas Blue</t>
  </si>
  <si>
    <t>Maps</t>
  </si>
  <si>
    <t>Mark My Words</t>
  </si>
  <si>
    <t>Marry The Night</t>
  </si>
  <si>
    <t>Marry You</t>
  </si>
  <si>
    <t>Me Too</t>
  </si>
  <si>
    <t>Me, Myself &amp; I</t>
  </si>
  <si>
    <t>Meet Me Halfway</t>
  </si>
  <si>
    <t>Memories</t>
  </si>
  <si>
    <t>Mercy</t>
  </si>
  <si>
    <t>Messin' Around</t>
  </si>
  <si>
    <t>Mi Gente (feat. Beyoncé)</t>
  </si>
  <si>
    <t>J Balvin</t>
  </si>
  <si>
    <t>Million Reasons</t>
  </si>
  <si>
    <t>Million Years Ago</t>
  </si>
  <si>
    <t>Mirrors - Radio Edit</t>
  </si>
  <si>
    <t>Misery</t>
  </si>
  <si>
    <t>Miss You (with Major Lazer &amp; Tory Lanez)</t>
  </si>
  <si>
    <t>Mmm Yeah (feat. Pitbull)</t>
  </si>
  <si>
    <t>Austin Mahone</t>
  </si>
  <si>
    <t>Moment 4 Life - Album Version (Edited)</t>
  </si>
  <si>
    <t>Monster</t>
  </si>
  <si>
    <t>Kanye West</t>
  </si>
  <si>
    <t>Chicago Rap</t>
  </si>
  <si>
    <t>Move</t>
  </si>
  <si>
    <t>MOVE TO MIAMI</t>
  </si>
  <si>
    <t>Moves Like Jagger - Studio Recording From The Voice Performance</t>
  </si>
  <si>
    <t>Mr. Put It Down</t>
  </si>
  <si>
    <t>Ricky Martin</t>
  </si>
  <si>
    <t>Muny - Album Version (Edited)</t>
  </si>
  <si>
    <t>My First Kiss - feat. Ke$ha</t>
  </si>
  <si>
    <t>3OH!3</t>
  </si>
  <si>
    <t>My House</t>
  </si>
  <si>
    <t>My My My!</t>
  </si>
  <si>
    <t>Troye Sivan</t>
  </si>
  <si>
    <t>My Way</t>
  </si>
  <si>
    <t>Naturally</t>
  </si>
  <si>
    <t>Needed Me</t>
  </si>
  <si>
    <t>Nervous</t>
  </si>
  <si>
    <t>Never Be the Same - Radio Edit</t>
  </si>
  <si>
    <t>Never Forget You</t>
  </si>
  <si>
    <t>Zara Larsson</t>
  </si>
  <si>
    <t>New Rules</t>
  </si>
  <si>
    <t>Next To Me</t>
  </si>
  <si>
    <t>Night Changes</t>
  </si>
  <si>
    <t>NO</t>
  </si>
  <si>
    <t>No Brainer (feat. Justin Bieber, Chance the Rapper &amp; Quavo)</t>
  </si>
  <si>
    <t>No Guidance (feat. Drake)</t>
  </si>
  <si>
    <t>Chris Brown</t>
  </si>
  <si>
    <t>no tears left to cry</t>
  </si>
  <si>
    <t>No Vacancy (with Sebastián Yatra)</t>
  </si>
  <si>
    <t>Not a Bad Thing</t>
  </si>
  <si>
    <t>Not About Angels</t>
  </si>
  <si>
    <t>Not Myself Tonight</t>
  </si>
  <si>
    <t>Nothing Breaks Like a Heart (feat. Miley Cyrus)</t>
  </si>
  <si>
    <t>OK - Spotify Version</t>
  </si>
  <si>
    <t>Robin Schulz</t>
  </si>
  <si>
    <t>OMG (feat. will.i.am)</t>
  </si>
  <si>
    <t>On My Mind</t>
  </si>
  <si>
    <t>On The Floor</t>
  </si>
  <si>
    <t>One Call Away (feat. Tyga) - Remix</t>
  </si>
  <si>
    <t>One Kiss (with Dua Lipa)</t>
  </si>
  <si>
    <t>One More Night</t>
  </si>
  <si>
    <t>Only Girl (In The World)</t>
  </si>
  <si>
    <t>Only Human</t>
  </si>
  <si>
    <t>Jonas Brothers</t>
  </si>
  <si>
    <t>Only Love Can Hurt Like This</t>
  </si>
  <si>
    <t>Paloma Faith</t>
  </si>
  <si>
    <t>Ooh La La (from "The Smurfs 2")</t>
  </si>
  <si>
    <t>Out Of The Woods</t>
  </si>
  <si>
    <t>Outta Nowhere (feat. Danny Mercer)</t>
  </si>
  <si>
    <t>Overdose</t>
  </si>
  <si>
    <t>Ciara</t>
  </si>
  <si>
    <t>Papi</t>
  </si>
  <si>
    <t>Paradise</t>
  </si>
  <si>
    <t>Paris</t>
  </si>
  <si>
    <t>Part Of Me</t>
  </si>
  <si>
    <t>Partition</t>
  </si>
  <si>
    <t>Party Rock Anthem</t>
  </si>
  <si>
    <t>LMFAO</t>
  </si>
  <si>
    <t>Payphone</t>
  </si>
  <si>
    <t>People Like Us</t>
  </si>
  <si>
    <t>Pep Rally</t>
  </si>
  <si>
    <t>Missy Elliott</t>
  </si>
  <si>
    <t>Perfect</t>
  </si>
  <si>
    <t>Perfect Duet (Ed Sheeran &amp; Beyoncé)</t>
  </si>
  <si>
    <t>Perfect Illusion</t>
  </si>
  <si>
    <t>Picky - Remix</t>
  </si>
  <si>
    <t>Joey Montana</t>
  </si>
  <si>
    <t>PILLOWTALK</t>
  </si>
  <si>
    <t>Play Hard (feat. Ne-Yo &amp; Akon) - New Edit</t>
  </si>
  <si>
    <t>Please Don't Go</t>
  </si>
  <si>
    <t>Pom Poms</t>
  </si>
  <si>
    <t>Pompeii</t>
  </si>
  <si>
    <t>Bastille</t>
  </si>
  <si>
    <t>Metropopolis</t>
  </si>
  <si>
    <t>Prayer in C - Robin Schulz Radio Edit</t>
  </si>
  <si>
    <t>Lilly Wood and The Prick</t>
  </si>
  <si>
    <t>French Indie Pop</t>
  </si>
  <si>
    <t>Praying</t>
  </si>
  <si>
    <t>Price Tag</t>
  </si>
  <si>
    <t>Problem</t>
  </si>
  <si>
    <t>Raise Your Glass</t>
  </si>
  <si>
    <t>Rather Be (feat. Jess Glynne)</t>
  </si>
  <si>
    <t>Clean Bandit</t>
  </si>
  <si>
    <t>Reality - Radio Edit</t>
  </si>
  <si>
    <t>Lost Frequencies</t>
  </si>
  <si>
    <t>Belgian EDM</t>
  </si>
  <si>
    <t>Reality (feat. Janieck Devy) - Radio Edit</t>
  </si>
  <si>
    <t>Really Don't Care</t>
  </si>
  <si>
    <t>Reggaetón Lento (Remix)</t>
  </si>
  <si>
    <t>CNCO</t>
  </si>
  <si>
    <t>Remember I Told You</t>
  </si>
  <si>
    <t>Rich Boy</t>
  </si>
  <si>
    <t>Galantis</t>
  </si>
  <si>
    <t>Rich Love (with Seeb)</t>
  </si>
  <si>
    <t>Right Now - Dyro Radio Edit</t>
  </si>
  <si>
    <t>Rise</t>
  </si>
  <si>
    <t>Roar</t>
  </si>
  <si>
    <t>Rock N Roll</t>
  </si>
  <si>
    <t>Avril Lavigne</t>
  </si>
  <si>
    <t>Rock That Body</t>
  </si>
  <si>
    <t>Rockabye (feat. Sean Paul &amp; Anne-Marie)</t>
  </si>
  <si>
    <t>Rolling in the Deep</t>
  </si>
  <si>
    <t>Roses</t>
  </si>
  <si>
    <t>Rude</t>
  </si>
  <si>
    <t>MAGIC!</t>
  </si>
  <si>
    <t>Run Away With Me</t>
  </si>
  <si>
    <t>Run Run Run</t>
  </si>
  <si>
    <t>Run the World (Girls)</t>
  </si>
  <si>
    <t>Runnin' (Lose It All)</t>
  </si>
  <si>
    <t>Naughty Boy</t>
  </si>
  <si>
    <t>Tropical House</t>
  </si>
  <si>
    <t>S&amp;M Remix</t>
  </si>
  <si>
    <t>Same Old Love</t>
  </si>
  <si>
    <t>Say Something</t>
  </si>
  <si>
    <t>A Great Big World</t>
  </si>
  <si>
    <t>Scars To Your Beautiful</t>
  </si>
  <si>
    <t>Secrets</t>
  </si>
  <si>
    <t>See You Again (feat. Charlie Puth)</t>
  </si>
  <si>
    <t>Wiz Khalifa</t>
  </si>
  <si>
    <t>Send My Love (To Your New Lover)</t>
  </si>
  <si>
    <t>Señorita</t>
  </si>
  <si>
    <t>Set Fire to the Rain</t>
  </si>
  <si>
    <t>Sexy And I Know It</t>
  </si>
  <si>
    <t>Sexy Bitch (feat. Akon)</t>
  </si>
  <si>
    <t>Shake It Off</t>
  </si>
  <si>
    <t>Shallow - Radio Edit</t>
  </si>
  <si>
    <t>Shape of You</t>
  </si>
  <si>
    <t>She Looks So Perfect</t>
  </si>
  <si>
    <t>5 Seconds of Summer</t>
  </si>
  <si>
    <t>Sheezus</t>
  </si>
  <si>
    <t>Lily Allen</t>
  </si>
  <si>
    <t>Shot Me Down (feat. Skylar Grey) - Radio Edit</t>
  </si>
  <si>
    <t>Shout Out to My Ex</t>
  </si>
  <si>
    <t>Sick Boy</t>
  </si>
  <si>
    <t>Side To Side</t>
  </si>
  <si>
    <t>Sign of the Times</t>
  </si>
  <si>
    <t>Harry Styles</t>
  </si>
  <si>
    <t>Silence</t>
  </si>
  <si>
    <t>Sing</t>
  </si>
  <si>
    <t>Slide (feat. Frank Ocean &amp; Migos)</t>
  </si>
  <si>
    <t>Slow Hands</t>
  </si>
  <si>
    <t>Niall Horan</t>
  </si>
  <si>
    <t>Some Nights</t>
  </si>
  <si>
    <t>fun.</t>
  </si>
  <si>
    <t>Baroque Pop</t>
  </si>
  <si>
    <t>Someone Like You</t>
  </si>
  <si>
    <t>Someone You Loved</t>
  </si>
  <si>
    <t>Lewis Capaldi</t>
  </si>
  <si>
    <t>Something Just Like This</t>
  </si>
  <si>
    <t>Something's Got A Hold On Me - Burlesque Original Motion Picture Soundtrack</t>
  </si>
  <si>
    <t>Sorry</t>
  </si>
  <si>
    <t>Sorry Not Sorry</t>
  </si>
  <si>
    <t>South of the Border (feat. Camila Cabello &amp; Cardi B)</t>
  </si>
  <si>
    <t>Spark The Fire</t>
  </si>
  <si>
    <t>Sparks</t>
  </si>
  <si>
    <t>St Jude</t>
  </si>
  <si>
    <t>Starboy</t>
  </si>
  <si>
    <t>Starships</t>
  </si>
  <si>
    <t>Start</t>
  </si>
  <si>
    <t>Starving</t>
  </si>
  <si>
    <t>Stay</t>
  </si>
  <si>
    <t>Stay The Night - Featuring Hayley Williams Of Paramore</t>
  </si>
  <si>
    <t>Stay With Me</t>
  </si>
  <si>
    <t>Steal My Girl</t>
  </si>
  <si>
    <t>Stereo Hearts (feat. Adam Levine)</t>
  </si>
  <si>
    <t>Gym Class Heroes</t>
  </si>
  <si>
    <t>Stitches</t>
  </si>
  <si>
    <t>Story of My Life</t>
  </si>
  <si>
    <t>Strip That Down (feat. Quavo)</t>
  </si>
  <si>
    <t>Stronger (What Doesn't Kill You)</t>
  </si>
  <si>
    <t>Sucker</t>
  </si>
  <si>
    <t>Sugar</t>
  </si>
  <si>
    <t>Sugar (feat. Francesco Yates)</t>
  </si>
  <si>
    <t>Suit &amp; Tie</t>
  </si>
  <si>
    <t>Summer</t>
  </si>
  <si>
    <t>Summer Bummer (feat. A$AP Rocky &amp; Playboi Carti)</t>
  </si>
  <si>
    <t>Summertime Sadness (Lana Del Rey Vs. Cedric Gervais) - Cedric Gervais Remix</t>
  </si>
  <si>
    <t>Super Bass</t>
  </si>
  <si>
    <t>Supernova</t>
  </si>
  <si>
    <t>Ansel Elgort</t>
  </si>
  <si>
    <t>Supplies</t>
  </si>
  <si>
    <t>Sweet Nothing (feat. Florence Welch)</t>
  </si>
  <si>
    <t>Swish Swish</t>
  </si>
  <si>
    <t>Take Back the Night</t>
  </si>
  <si>
    <t>Take It Off</t>
  </si>
  <si>
    <t>Take Me To Church</t>
  </si>
  <si>
    <t>Hozier</t>
  </si>
  <si>
    <t>Takeaway</t>
  </si>
  <si>
    <t>Taki Taki (feat. Selena Gomez, Ozuna &amp; Cardi B)</t>
  </si>
  <si>
    <t>Talk (feat. Disclosure)</t>
  </si>
  <si>
    <t>Khalid</t>
  </si>
  <si>
    <t>Talk Dirty (feat. 2 Chainz)</t>
  </si>
  <si>
    <t>Jason Derulo</t>
  </si>
  <si>
    <t>Team</t>
  </si>
  <si>
    <t>Lorde</t>
  </si>
  <si>
    <t>Tee Shirt - Soundtrack Version</t>
  </si>
  <si>
    <t>Teenage Dream</t>
  </si>
  <si>
    <t>Telephone</t>
  </si>
  <si>
    <t>Tell Me You Love Me - NOTD Remix</t>
  </si>
  <si>
    <t>Tequila</t>
  </si>
  <si>
    <t>Dan + Shay</t>
  </si>
  <si>
    <t>Contemporary Country</t>
  </si>
  <si>
    <t>That's What I Like</t>
  </si>
  <si>
    <t>The Cure</t>
  </si>
  <si>
    <t>The Edge Of Glory</t>
  </si>
  <si>
    <t>The Feeling</t>
  </si>
  <si>
    <t>The Greatest</t>
  </si>
  <si>
    <t>The Heart Wants What It Wants</t>
  </si>
  <si>
    <t>The Hills</t>
  </si>
  <si>
    <t>The One That Got Away</t>
  </si>
  <si>
    <t>The Time (Dirty Bit)</t>
  </si>
  <si>
    <t>The Way</t>
  </si>
  <si>
    <t>There for You</t>
  </si>
  <si>
    <t>There's Nothing Holdin' Me Back</t>
  </si>
  <si>
    <t>These Days</t>
  </si>
  <si>
    <t>Thinking out Loud</t>
  </si>
  <si>
    <t>This Is How We Do</t>
  </si>
  <si>
    <t>This Is What You Came For</t>
  </si>
  <si>
    <t>This Town</t>
  </si>
  <si>
    <t>Thrift Shop (feat. Wanz)</t>
  </si>
  <si>
    <t>TiK ToK</t>
  </si>
  <si>
    <t>Till the World Ends</t>
  </si>
  <si>
    <t>Time of Our Lives</t>
  </si>
  <si>
    <t>Tired</t>
  </si>
  <si>
    <t>Alan Walker</t>
  </si>
  <si>
    <t>Electro House</t>
  </si>
  <si>
    <t>Titanium (feat. Sia)</t>
  </si>
  <si>
    <t>TKO</t>
  </si>
  <si>
    <t>Tonight (I'm Fuckin' You)</t>
  </si>
  <si>
    <t>Tonight Tonight</t>
  </si>
  <si>
    <t>Hot Chelle Rae</t>
  </si>
  <si>
    <t>Too Good</t>
  </si>
  <si>
    <t>Toothbrush</t>
  </si>
  <si>
    <t>Touch (feat. Kid Ink)</t>
  </si>
  <si>
    <t>Trampoline (with ZAYN)</t>
  </si>
  <si>
    <t>SHAED</t>
  </si>
  <si>
    <t>Treasure</t>
  </si>
  <si>
    <t>Treat You Better</t>
  </si>
  <si>
    <t>True Colors</t>
  </si>
  <si>
    <t>Trumpets</t>
  </si>
  <si>
    <t>Truth Hurts</t>
  </si>
  <si>
    <t>Try</t>
  </si>
  <si>
    <t>Try Sleeping with a Broken Heart</t>
  </si>
  <si>
    <t>Turn Up the Music</t>
  </si>
  <si>
    <t>Turning Page</t>
  </si>
  <si>
    <t>Sleeping At Last</t>
  </si>
  <si>
    <t>Under Control</t>
  </si>
  <si>
    <t>Underneath the Tree</t>
  </si>
  <si>
    <t>Up</t>
  </si>
  <si>
    <t>Olly Murs</t>
  </si>
  <si>
    <t>Uptown Funk</t>
  </si>
  <si>
    <t>Wait</t>
  </si>
  <si>
    <t>Wake Me Up</t>
  </si>
  <si>
    <t>Walk On Water (feat. Beyoncé)</t>
  </si>
  <si>
    <t>Walks Like Rihanna</t>
  </si>
  <si>
    <t>Want To</t>
  </si>
  <si>
    <t>Want to Want Me</t>
  </si>
  <si>
    <t>Water Under the Bridge</t>
  </si>
  <si>
    <t>Waves - Robin Schulz Radio Edit</t>
  </si>
  <si>
    <t>Mr. Probz</t>
  </si>
  <si>
    <t>We Are Here</t>
  </si>
  <si>
    <t>We Are Never Ever Getting Back Together</t>
  </si>
  <si>
    <t>We Are One (Ole Ola) [The Official 2014 FIFA World Cup Song]</t>
  </si>
  <si>
    <t>We Are Young (feat. Janelle Monáe)</t>
  </si>
  <si>
    <t>We Can't Stop</t>
  </si>
  <si>
    <t>We Don't Talk Anymore - DROELOE Remix</t>
  </si>
  <si>
    <t>We Found Love</t>
  </si>
  <si>
    <t>We Own The Night</t>
  </si>
  <si>
    <t>We R Who We R</t>
  </si>
  <si>
    <t>What About Love</t>
  </si>
  <si>
    <t>What About Us</t>
  </si>
  <si>
    <t>What Do You Mean?</t>
  </si>
  <si>
    <t>What Do You Mean? - Acoustic</t>
  </si>
  <si>
    <t>What I Need (feat. Kehlani)</t>
  </si>
  <si>
    <t>Hayley Kiyoko</t>
  </si>
  <si>
    <t>What Lovers Do (feat. SZA)</t>
  </si>
  <si>
    <t>What Makes You Beautiful</t>
  </si>
  <si>
    <t>What the Hell</t>
  </si>
  <si>
    <t>Whataya Want from Me</t>
  </si>
  <si>
    <t>What's My Name?</t>
  </si>
  <si>
    <t>When We Were Young</t>
  </si>
  <si>
    <t>Where Have You Been</t>
  </si>
  <si>
    <t>Wherever I Go</t>
  </si>
  <si>
    <t>Wide Awake</t>
  </si>
  <si>
    <t>Wiggle (feat. Snoop Dogg)</t>
  </si>
  <si>
    <t>Wild Thoughts (feat. Rihanna &amp; Bryson Tiller)</t>
  </si>
  <si>
    <t>Wings</t>
  </si>
  <si>
    <t>Wish That You Were Here - From Miss Peregrines Home for Peculiar Children Original Motion Picture</t>
  </si>
  <si>
    <t>Without You (feat. Usher)</t>
  </si>
  <si>
    <t>Wolves</t>
  </si>
  <si>
    <t>Words as Weapons</t>
  </si>
  <si>
    <t>Work</t>
  </si>
  <si>
    <t>Work Bitch</t>
  </si>
  <si>
    <t>Work from Home (feat. Ty Dolla $ign)</t>
  </si>
  <si>
    <t>Worth It</t>
  </si>
  <si>
    <t>Wrecking Ball</t>
  </si>
  <si>
    <t>Written in the Stars (feat. Eric Turner)</t>
  </si>
  <si>
    <t>Tinie Tempah</t>
  </si>
  <si>
    <t>WTF (Where They From)</t>
  </si>
  <si>
    <t>XO</t>
  </si>
  <si>
    <t>Yeah 3x</t>
  </si>
  <si>
    <t>Yesterday (feat. Bebe Rexha)</t>
  </si>
  <si>
    <t>You And I</t>
  </si>
  <si>
    <t>You Da One</t>
  </si>
  <si>
    <t>You Lost Me</t>
  </si>
  <si>
    <t>Young Girls</t>
  </si>
  <si>
    <t>Younger Now</t>
  </si>
  <si>
    <t>Your Love Is My Drug</t>
  </si>
  <si>
    <t>You're Mine (Eternal)</t>
  </si>
  <si>
    <t>Youth (feat. Khalid)</t>
  </si>
  <si>
    <t>Total Global Streams</t>
  </si>
  <si>
    <t>Average Song Tempo</t>
  </si>
  <si>
    <t>Billion-Stream Track Share</t>
  </si>
  <si>
    <t>Unique Artists</t>
  </si>
  <si>
    <t>BPM</t>
  </si>
  <si>
    <t># 🎵 Spotify Streams &amp; Audio Features Analysis</t>
  </si>
  <si>
    <t>An end-to-end Excel data analytics project exploring track popularity, audio characteristics, genre distribution, and multi-platform playlist reach across Spotify, Apple Music, Deezer, and YouTube.</t>
  </si>
  <si>
    <t>---</t>
  </si>
  <si>
    <t>## 📌 Project Overview</t>
  </si>
  <si>
    <t>This project analyzes a dataset of global top-streamed songs to uncover what makes a hit track tick. By bucketing streaming metrics, examining audio attributes (Energy, Danceability, Valence, BPM), and evaluating playlist inclusion across major platforms, this analysis offers data-driven insights into track performance and platform curation strategies.</t>
  </si>
  <si>
    <t>## 🛠️ Tools &amp; Methodology</t>
  </si>
  <si>
    <t>* **Tool:** Microsoft Excel (Excel for the Web)</t>
  </si>
  <si>
    <t xml:space="preserve">* **Data Cleaning &amp; Preparation:** </t>
  </si>
  <si>
    <t xml:space="preserve">  * Handled missing values and standardized text formats.</t>
  </si>
  <si>
    <t xml:space="preserve">  * Applied logical formulas (`IF`/`IFS`) to bucket total streams into discrete performance tiers (`1B+`, `500M–1B`, `250M–500M`, `Under 250M`).</t>
  </si>
  <si>
    <t>* **Data Aggregation:** Created dynamic Pivot Tables to cross-analyze audio features, top genres, and artist performance across charts.</t>
  </si>
  <si>
    <t>* **Dashboard Design:** Built an Executive Dashboard using structured KPI summary blocks (`SUM`, `AVERAGE`, `COUNTIF`, `UNIQUE`) and multi-axis visualizations.</t>
  </si>
  <si>
    <t>## 💡 Key Analytical Insights</t>
  </si>
  <si>
    <t>1. **The Hit Formula (Danceability vs. Energy)**</t>
  </si>
  <si>
    <t xml:space="preserve">   * Track performance tiers reveal that mega-hits (**1B+ streams**) average higher **Danceability (66.5%)** compared to lower tiers, while maintaining moderate **Energy levels (65.8%)**.</t>
  </si>
  <si>
    <t xml:space="preserve">   * Song tempo remains remarkably consistent across all performance categories, averaging between **117.9 and 119.9 BPM**.</t>
  </si>
  <si>
    <t>2. **Mass Market Reach vs. High-Stream Niche Genres**</t>
  </si>
  <si>
    <t xml:space="preserve">   * **Pop** heavily dominates platform-wide playlist curation, appearing in over 1.3M Apple playlists and 1.18M YouTube playlists.</t>
  </si>
  <si>
    <t xml:space="preserve">   * However, niche genres like **Soul**, **Alternative R&amp;B**, and **Irish Singer-Songwriter** boast the highest *average streams per track* (&gt;1.6B average), showing strong user engagement per release.</t>
  </si>
  <si>
    <t>3. **Artist &amp; Chart Consistency**</t>
  </si>
  <si>
    <t xml:space="preserve">   * Leading artists like **Ed Sheeran** (&gt;16.5B total streams) and **Maroon 5** (&gt;15.2B total streams) demonstrate sustained cross-platform presence across Spotify, Apple, and Billboard charts.</t>
  </si>
  <si>
    <t>## 📂 Workbook Structure</t>
  </si>
  <si>
    <t>* `Clean_Data`: Cleaned raw dataset containing track attributes, stream counts, and platform-specific metrics.</t>
  </si>
  <si>
    <t>* `Analytics_Pivots`: Segmented Pivot Tables analyzing audio features by stream category, top genres by playlist reach, and artist chart rankings.</t>
  </si>
  <si>
    <t>* `Executive_Dashboard`: Consolidated high-level KPIs and executive-ready combo chart comparing genre streams against playlist inclusion.</t>
  </si>
  <si>
    <t>## 🚀 How to View</t>
  </si>
  <si>
    <t>1. Download or clone `Spotify Dataset project.xlsx`.</t>
  </si>
  <si>
    <t>2. Open the file in Microsoft Excel or Excel for the Web.</t>
  </si>
  <si>
    <t>3. Navigate to the `Executive_Dashboard` tab for the high-level summary and visual insights.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</si>
</sst>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\-#,##0\ "/>
    <numFmt numFmtId="165" formatCode="0.0"/>
    <numFmt numFmtId="166" formatCode="#,##0.0"/>
    <numFmt numFmtId="167" formatCode="[&gt;=1000000000]#,##0.0,,,&quot;B&quot;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4"/>
      <color theme="1"/>
      <name val="Segoe UI"/>
    </font>
    <font>
      <sz val="2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3" fontId="0" fillId="0" borderId="10" xfId="0" applyNumberFormat="1" applyBorder="1"/>
    <xf numFmtId="164" fontId="0" fillId="0" borderId="10" xfId="0" applyNumberFormat="1" applyBorder="1"/>
    <xf numFmtId="165" fontId="0" fillId="0" borderId="10" xfId="0" applyNumberFormat="1" applyBorder="1"/>
    <xf numFmtId="1" fontId="0" fillId="0" borderId="10" xfId="0" applyNumberFormat="1" applyBorder="1"/>
    <xf numFmtId="0" fontId="0" fillId="0" borderId="10" xfId="0" applyNumberFormat="1" applyBorder="1"/>
    <xf numFmtId="0" fontId="0" fillId="0" borderId="0" xfId="0" pivotButton="1"/>
    <xf numFmtId="166" fontId="0" fillId="0" borderId="10" xfId="0" applyNumberFormat="1" applyBorder="1"/>
    <xf numFmtId="166" fontId="0" fillId="0" borderId="0" xfId="0" applyNumberFormat="1"/>
    <xf numFmtId="0" fontId="18" fillId="33" borderId="0" xfId="0" applyFont="1" applyFill="1"/>
    <xf numFmtId="0" fontId="19" fillId="34" borderId="0" xfId="0" applyFont="1" applyFill="1"/>
    <xf numFmtId="0" fontId="0" fillId="34" borderId="0" xfId="0" applyFont="1" applyFill="1"/>
    <xf numFmtId="167" fontId="20" fillId="34" borderId="0" xfId="0" applyNumberFormat="1" applyFont="1" applyFill="1"/>
    <xf numFmtId="0" fontId="20" fillId="34" borderId="0" xfId="0" applyFont="1" applyFill="1"/>
    <xf numFmtId="10" fontId="20" fillId="34" borderId="0" xfId="0" applyNumberFormat="1" applyFont="1" applyFill="1"/>
    <xf numFmtId="167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" formatCode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#,##0_ ;\-#,##0\ 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#,##0_ ;\-#,##0\ 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5" formatCode="0.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</dxf>
    <dxf>
      <numFmt numFmtId="167" formatCode="[&gt;=1000000000]#,##0.0,,,&quot;B&quot;;#,##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6" formatCode="#,##0.0"/>
    </dxf>
  </dxfs>
  <tableStyles count="0" defaultTableStyle="TableStyleMedium2" defaultPivotStyle="PivotStyleLight16"/>
  <colors>
    <mruColors>
      <color rgb="FF30A13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1.xlsx]Analytics_Pivots!PivotTable4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ARTISTS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Analytics_Pivots!$B$18</c:f>
              <c:strCache>
                <c:ptCount val="1"/>
                <c:pt idx="0">
                  <c:v>Sum of Streams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Analytics_Pivots!$B$19:$B$29</c:f>
              <c:numCache>
                <c:formatCode>General</c:formatCode>
                <c:ptCount val="10"/>
                <c:pt idx="0">
                  <c:v>16574703164</c:v>
                </c:pt>
                <c:pt idx="1">
                  <c:v>15299104260</c:v>
                </c:pt>
                <c:pt idx="2">
                  <c:v>12693709669</c:v>
                </c:pt>
                <c:pt idx="3">
                  <c:v>12638455318</c:v>
                </c:pt>
                <c:pt idx="4">
                  <c:v>12602574946</c:v>
                </c:pt>
                <c:pt idx="5">
                  <c:v>11310810977</c:v>
                </c:pt>
                <c:pt idx="6">
                  <c:v>11136323709</c:v>
                </c:pt>
                <c:pt idx="7">
                  <c:v>10029811509</c:v>
                </c:pt>
                <c:pt idx="8">
                  <c:v>9953327973</c:v>
                </c:pt>
                <c:pt idx="9">
                  <c:v>9621563820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A-491A-B4E1-3EFB3CAC9D93}"/>
            </c:ext>
          </c:extLst>
        </c:ser>
        <c:ser>
          <c:idx val="1"/>
          <c:order val="1"/>
          <c:tx>
            <c:strRef>
              <c:f>Analytics_Pivots!$C$18</c:f>
              <c:strCache>
                <c:ptCount val="1"/>
                <c:pt idx="0">
                  <c:v>Sum of Billboard Rankings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Analytics_Pivots!$C$19:$C$29</c:f>
              <c:numCache>
                <c:formatCode>0.0</c:formatCode>
                <c:ptCount val="10"/>
                <c:pt idx="0">
                  <c:v>68.545454545454547</c:v>
                </c:pt>
                <c:pt idx="1">
                  <c:v>79.86666666666666</c:v>
                </c:pt>
                <c:pt idx="2">
                  <c:v>27.333333333333332</c:v>
                </c:pt>
                <c:pt idx="3">
                  <c:v>31.7</c:v>
                </c:pt>
                <c:pt idx="4">
                  <c:v>46</c:v>
                </c:pt>
                <c:pt idx="5">
                  <c:v>92.555555555555557</c:v>
                </c:pt>
                <c:pt idx="6">
                  <c:v>67.857142857142861</c:v>
                </c:pt>
                <c:pt idx="7">
                  <c:v>80</c:v>
                </c:pt>
                <c:pt idx="8">
                  <c:v>104.13333333333334</c:v>
                </c:pt>
                <c:pt idx="9">
                  <c:v>47.888888888888886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BA-491A-B4E1-3EFB3CAC9D93}"/>
            </c:ext>
          </c:extLst>
        </c:ser>
        <c:ser>
          <c:idx val="2"/>
          <c:order val="2"/>
          <c:tx>
            <c:strRef>
              <c:f>Analytics_Pivots!$D$18</c:f>
              <c:strCache>
                <c:ptCount val="1"/>
                <c:pt idx="0">
                  <c:v>Average of On Spotify Charts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Analytics_Pivots!$D$19:$D$29</c:f>
              <c:numCache>
                <c:formatCode>0.0</c:formatCode>
                <c:ptCount val="10"/>
                <c:pt idx="0">
                  <c:v>92.454545454545453</c:v>
                </c:pt>
                <c:pt idx="1">
                  <c:v>163</c:v>
                </c:pt>
                <c:pt idx="2">
                  <c:v>75.222222222222229</c:v>
                </c:pt>
                <c:pt idx="3">
                  <c:v>123.8</c:v>
                </c:pt>
                <c:pt idx="4">
                  <c:v>115.18181818181819</c:v>
                </c:pt>
                <c:pt idx="5">
                  <c:v>143.11111111111111</c:v>
                </c:pt>
                <c:pt idx="6">
                  <c:v>207</c:v>
                </c:pt>
                <c:pt idx="7">
                  <c:v>152.27272727272728</c:v>
                </c:pt>
                <c:pt idx="8">
                  <c:v>227.13333333333333</c:v>
                </c:pt>
                <c:pt idx="9">
                  <c:v>143.33333333333334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BA-491A-B4E1-3EFB3CAC9D93}"/>
            </c:ext>
          </c:extLst>
        </c:ser>
        <c:ser>
          <c:idx val="3"/>
          <c:order val="3"/>
          <c:tx>
            <c:strRef>
              <c:f>Analytics_Pivots!$E$18</c:f>
              <c:strCache>
                <c:ptCount val="1"/>
                <c:pt idx="0">
                  <c:v>Average of On Apple Charts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Analytics_Pivots!$E$19:$E$29</c:f>
              <c:numCache>
                <c:formatCode>0.0</c:formatCode>
                <c:ptCount val="10"/>
                <c:pt idx="0">
                  <c:v>66.63636363636364</c:v>
                </c:pt>
                <c:pt idx="1">
                  <c:v>50</c:v>
                </c:pt>
                <c:pt idx="2">
                  <c:v>27.333333333333332</c:v>
                </c:pt>
                <c:pt idx="3">
                  <c:v>38.4</c:v>
                </c:pt>
                <c:pt idx="4">
                  <c:v>46</c:v>
                </c:pt>
                <c:pt idx="5">
                  <c:v>35.111111111111114</c:v>
                </c:pt>
                <c:pt idx="6">
                  <c:v>33.214285714285715</c:v>
                </c:pt>
                <c:pt idx="7">
                  <c:v>61.81818181818182</c:v>
                </c:pt>
                <c:pt idx="8">
                  <c:v>51.733333333333334</c:v>
                </c:pt>
                <c:pt idx="9">
                  <c:v>55.777777777777779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BA-491A-B4E1-3EFB3CAC9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592008"/>
        <c:axId val="470885896"/>
      </c:barChart>
      <c:catAx>
        <c:axId val="47059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85896"/>
        <c:crosses val="autoZero"/>
        <c:auto val="1"/>
        <c:lblAlgn val="ctr"/>
        <c:lblOffset val="100"/>
        <c:noMultiLvlLbl val="0"/>
      </c:catAx>
      <c:valAx>
        <c:axId val="47088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00]#,##0.0,,,&quot;B&quot;;[&gt;=1000000]#,##0.0,,&quot;M&quot;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92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1.xlsx]Analytics_Pivots!PivotTable2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Analytics_Pivots!$B$3</c:f>
              <c:strCache>
                <c:ptCount val="1"/>
                <c:pt idx="0">
                  <c:v>Average of Energy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Analytics_Pivots!$B$4:$B$8</c:f>
              <c:numCache>
                <c:formatCode>#,##0.0</c:formatCode>
                <c:ptCount val="4"/>
                <c:pt idx="0">
                  <c:v>65.812080536912745</c:v>
                </c:pt>
                <c:pt idx="1">
                  <c:v>72.665071770334933</c:v>
                </c:pt>
                <c:pt idx="2">
                  <c:v>72.966442953020135</c:v>
                </c:pt>
                <c:pt idx="3">
                  <c:v>69.835443037974684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2-4B08-9163-5EC1C82C58F7}"/>
            </c:ext>
          </c:extLst>
        </c:ser>
        <c:ser>
          <c:idx val="1"/>
          <c:order val="1"/>
          <c:tx>
            <c:strRef>
              <c:f>Analytics_Pivots!$C$3</c:f>
              <c:strCache>
                <c:ptCount val="1"/>
                <c:pt idx="0">
                  <c:v>Average of Danceability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Analytics_Pivots!$C$4:$C$8</c:f>
              <c:numCache>
                <c:formatCode>#,##0.0</c:formatCode>
                <c:ptCount val="4"/>
                <c:pt idx="0">
                  <c:v>66.483221476510067</c:v>
                </c:pt>
                <c:pt idx="1">
                  <c:v>63.033492822966508</c:v>
                </c:pt>
                <c:pt idx="2">
                  <c:v>65.765100671140942</c:v>
                </c:pt>
                <c:pt idx="3">
                  <c:v>62.354430379746837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F2-4B08-9163-5EC1C82C58F7}"/>
            </c:ext>
          </c:extLst>
        </c:ser>
        <c:ser>
          <c:idx val="2"/>
          <c:order val="2"/>
          <c:tx>
            <c:strRef>
              <c:f>Analytics_Pivots!$D$3</c:f>
              <c:strCache>
                <c:ptCount val="1"/>
                <c:pt idx="0">
                  <c:v>Average of Valence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Analytics_Pivots!$D$4:$D$8</c:f>
              <c:numCache>
                <c:formatCode>#,##0.0</c:formatCode>
                <c:ptCount val="4"/>
                <c:pt idx="0">
                  <c:v>53.006711409395976</c:v>
                </c:pt>
                <c:pt idx="1">
                  <c:v>52.004784688995215</c:v>
                </c:pt>
                <c:pt idx="2">
                  <c:v>53.328859060402685</c:v>
                </c:pt>
                <c:pt idx="3">
                  <c:v>50.645569620253163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F2-4B08-9163-5EC1C82C58F7}"/>
            </c:ext>
          </c:extLst>
        </c:ser>
        <c:ser>
          <c:idx val="3"/>
          <c:order val="3"/>
          <c:tx>
            <c:strRef>
              <c:f>Analytics_Pivots!$E$3</c:f>
              <c:strCache>
                <c:ptCount val="1"/>
                <c:pt idx="0">
                  <c:v>Average of Bpm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Analytics_Pivots!$E$4:$E$8</c:f>
              <c:numCache>
                <c:formatCode>#,##0.0</c:formatCode>
                <c:ptCount val="4"/>
                <c:pt idx="0">
                  <c:v>117.85234899328859</c:v>
                </c:pt>
                <c:pt idx="1">
                  <c:v>119.94736842105263</c:v>
                </c:pt>
                <c:pt idx="2">
                  <c:v>118.59060402684564</c:v>
                </c:pt>
                <c:pt idx="3">
                  <c:v>118.27848101265823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F2-4B08-9163-5EC1C82C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1918216"/>
        <c:axId val="625071624"/>
      </c:barChart>
      <c:catAx>
        <c:axId val="62191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71624"/>
        <c:crosses val="autoZero"/>
        <c:auto val="1"/>
        <c:lblAlgn val="ctr"/>
        <c:lblOffset val="100"/>
        <c:noMultiLvlLbl val="0"/>
      </c:catAx>
      <c:valAx>
        <c:axId val="62507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1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1.xlsx]Analytics_Pivots!PivotTable3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Analytics_Pivots!$J$4</c:f>
              <c:strCache>
                <c:ptCount val="1"/>
                <c:pt idx="0">
                  <c:v>Average of Streams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Analytics_Pivots!$J$5:$J$15</c:f>
              <c:numCache>
                <c:formatCode>#,##0_ ;\-#,##0\ </c:formatCode>
                <c:ptCount val="10"/>
                <c:pt idx="0">
                  <c:v>2144876076.5</c:v>
                </c:pt>
                <c:pt idx="1">
                  <c:v>1897517891</c:v>
                </c:pt>
                <c:pt idx="2">
                  <c:v>1647990401</c:v>
                </c:pt>
                <c:pt idx="3">
                  <c:v>1540511788.25</c:v>
                </c:pt>
                <c:pt idx="4">
                  <c:v>1479115056</c:v>
                </c:pt>
                <c:pt idx="5">
                  <c:v>1440757818</c:v>
                </c:pt>
                <c:pt idx="6">
                  <c:v>1401157856</c:v>
                </c:pt>
                <c:pt idx="7">
                  <c:v>1355011438.2857144</c:v>
                </c:pt>
                <c:pt idx="8">
                  <c:v>1247601949.1538463</c:v>
                </c:pt>
                <c:pt idx="9">
                  <c:v>1193454124.118644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9-47A3-9F67-D999999CA7B1}"/>
            </c:ext>
          </c:extLst>
        </c:ser>
        <c:ser>
          <c:idx val="1"/>
          <c:order val="1"/>
          <c:tx>
            <c:strRef>
              <c:f>Analytics_Pivots!$K$4</c:f>
              <c:strCache>
                <c:ptCount val="1"/>
                <c:pt idx="0">
                  <c:v>Sum of In Spotify Playlists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Analytics_Pivots!$K$5:$K$15</c:f>
              <c:numCache>
                <c:formatCode>General</c:formatCode>
                <c:ptCount val="10"/>
                <c:pt idx="0">
                  <c:v>63962</c:v>
                </c:pt>
                <c:pt idx="1">
                  <c:v>25653</c:v>
                </c:pt>
                <c:pt idx="2">
                  <c:v>20333</c:v>
                </c:pt>
                <c:pt idx="3">
                  <c:v>76749</c:v>
                </c:pt>
                <c:pt idx="4">
                  <c:v>17354</c:v>
                </c:pt>
                <c:pt idx="5">
                  <c:v>15894</c:v>
                </c:pt>
                <c:pt idx="6">
                  <c:v>31076</c:v>
                </c:pt>
                <c:pt idx="7">
                  <c:v>114033</c:v>
                </c:pt>
                <c:pt idx="8">
                  <c:v>192719</c:v>
                </c:pt>
                <c:pt idx="9">
                  <c:v>862388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29-47A3-9F67-D999999CA7B1}"/>
            </c:ext>
          </c:extLst>
        </c:ser>
        <c:ser>
          <c:idx val="2"/>
          <c:order val="2"/>
          <c:tx>
            <c:strRef>
              <c:f>Analytics_Pivots!$L$4</c:f>
              <c:strCache>
                <c:ptCount val="1"/>
                <c:pt idx="0">
                  <c:v>Sum of In Apple Playlists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Analytics_Pivots!$L$5:$L$15</c:f>
              <c:numCache>
                <c:formatCode>General</c:formatCode>
                <c:ptCount val="10"/>
                <c:pt idx="0">
                  <c:v>47595</c:v>
                </c:pt>
                <c:pt idx="1">
                  <c:v>11399</c:v>
                </c:pt>
                <c:pt idx="2">
                  <c:v>22808</c:v>
                </c:pt>
                <c:pt idx="3">
                  <c:v>68114</c:v>
                </c:pt>
                <c:pt idx="4">
                  <c:v>6519</c:v>
                </c:pt>
                <c:pt idx="5">
                  <c:v>19993</c:v>
                </c:pt>
                <c:pt idx="6">
                  <c:v>57424</c:v>
                </c:pt>
                <c:pt idx="7">
                  <c:v>177751</c:v>
                </c:pt>
                <c:pt idx="8">
                  <c:v>164285</c:v>
                </c:pt>
                <c:pt idx="9">
                  <c:v>1309668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29-47A3-9F67-D999999CA7B1}"/>
            </c:ext>
          </c:extLst>
        </c:ser>
        <c:ser>
          <c:idx val="3"/>
          <c:order val="3"/>
          <c:tx>
            <c:strRef>
              <c:f>Analytics_Pivots!$M$4</c:f>
              <c:strCache>
                <c:ptCount val="1"/>
                <c:pt idx="0">
                  <c:v>Sum of In Deezer Playlists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Analytics_Pivots!$M$5:$M$15</c:f>
              <c:numCache>
                <c:formatCode>General</c:formatCode>
                <c:ptCount val="10"/>
                <c:pt idx="0">
                  <c:v>1892</c:v>
                </c:pt>
                <c:pt idx="1">
                  <c:v>78</c:v>
                </c:pt>
                <c:pt idx="2">
                  <c:v>80</c:v>
                </c:pt>
                <c:pt idx="3">
                  <c:v>6008</c:v>
                </c:pt>
                <c:pt idx="4">
                  <c:v>64</c:v>
                </c:pt>
                <c:pt idx="5">
                  <c:v>2094</c:v>
                </c:pt>
                <c:pt idx="6">
                  <c:v>701</c:v>
                </c:pt>
                <c:pt idx="7">
                  <c:v>1648</c:v>
                </c:pt>
                <c:pt idx="8">
                  <c:v>8227</c:v>
                </c:pt>
                <c:pt idx="9">
                  <c:v>95995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29-47A3-9F67-D999999CA7B1}"/>
            </c:ext>
          </c:extLst>
        </c:ser>
        <c:ser>
          <c:idx val="4"/>
          <c:order val="4"/>
          <c:tx>
            <c:strRef>
              <c:f>Analytics_Pivots!$N$4</c:f>
              <c:strCache>
                <c:ptCount val="1"/>
                <c:pt idx="0">
                  <c:v>Sum of In YouTube Playlists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Analytics_Pivots!$N$5:$N$15</c:f>
              <c:numCache>
                <c:formatCode>General</c:formatCode>
                <c:ptCount val="10"/>
                <c:pt idx="0">
                  <c:v>46912</c:v>
                </c:pt>
                <c:pt idx="1">
                  <c:v>12337</c:v>
                </c:pt>
                <c:pt idx="2">
                  <c:v>29903</c:v>
                </c:pt>
                <c:pt idx="3">
                  <c:v>92779</c:v>
                </c:pt>
                <c:pt idx="4">
                  <c:v>20636</c:v>
                </c:pt>
                <c:pt idx="5">
                  <c:v>17362</c:v>
                </c:pt>
                <c:pt idx="6">
                  <c:v>47906</c:v>
                </c:pt>
                <c:pt idx="7">
                  <c:v>139223</c:v>
                </c:pt>
                <c:pt idx="8">
                  <c:v>311432</c:v>
                </c:pt>
                <c:pt idx="9">
                  <c:v>1181431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29-47A3-9F67-D999999C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5182600"/>
        <c:axId val="595184648"/>
      </c:barChart>
      <c:catAx>
        <c:axId val="59518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84648"/>
        <c:crosses val="autoZero"/>
        <c:auto val="1"/>
        <c:lblAlgn val="ctr"/>
        <c:lblOffset val="100"/>
        <c:noMultiLvlLbl val="0"/>
      </c:catAx>
      <c:valAx>
        <c:axId val="59518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00]\ #,##0.0,,,&quot;B&quot;;[&gt;=1000000]\ #,##0.0,,&quot;M&quot;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8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1.xlsx]Analytics_Pivots!PivotTable3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Analytics_Pivots!$J$4</c:f>
              <c:strCache>
                <c:ptCount val="1"/>
                <c:pt idx="0">
                  <c:v>Average of Streams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Analytics_Pivots!$J$5:$J$15</c:f>
              <c:numCache>
                <c:formatCode>#,##0_ ;\-#,##0\ </c:formatCode>
                <c:ptCount val="10"/>
                <c:pt idx="0">
                  <c:v>2144876076.5</c:v>
                </c:pt>
                <c:pt idx="1">
                  <c:v>1897517891</c:v>
                </c:pt>
                <c:pt idx="2">
                  <c:v>1647990401</c:v>
                </c:pt>
                <c:pt idx="3">
                  <c:v>1540511788.25</c:v>
                </c:pt>
                <c:pt idx="4">
                  <c:v>1479115056</c:v>
                </c:pt>
                <c:pt idx="5">
                  <c:v>1440757818</c:v>
                </c:pt>
                <c:pt idx="6">
                  <c:v>1401157856</c:v>
                </c:pt>
                <c:pt idx="7">
                  <c:v>1355011438.2857144</c:v>
                </c:pt>
                <c:pt idx="8">
                  <c:v>1247601949.1538463</c:v>
                </c:pt>
                <c:pt idx="9">
                  <c:v>1193454124.118644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D-4F37-8207-C9223BE7A745}"/>
            </c:ext>
          </c:extLst>
        </c:ser>
        <c:ser>
          <c:idx val="1"/>
          <c:order val="1"/>
          <c:tx>
            <c:strRef>
              <c:f>Analytics_Pivots!$K$4</c:f>
              <c:strCache>
                <c:ptCount val="1"/>
                <c:pt idx="0">
                  <c:v>Sum of In Spotify Playlists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Analytics_Pivots!$K$5:$K$15</c:f>
              <c:numCache>
                <c:formatCode>General</c:formatCode>
                <c:ptCount val="10"/>
                <c:pt idx="0">
                  <c:v>63962</c:v>
                </c:pt>
                <c:pt idx="1">
                  <c:v>25653</c:v>
                </c:pt>
                <c:pt idx="2">
                  <c:v>20333</c:v>
                </c:pt>
                <c:pt idx="3">
                  <c:v>76749</c:v>
                </c:pt>
                <c:pt idx="4">
                  <c:v>17354</c:v>
                </c:pt>
                <c:pt idx="5">
                  <c:v>15894</c:v>
                </c:pt>
                <c:pt idx="6">
                  <c:v>31076</c:v>
                </c:pt>
                <c:pt idx="7">
                  <c:v>114033</c:v>
                </c:pt>
                <c:pt idx="8">
                  <c:v>192719</c:v>
                </c:pt>
                <c:pt idx="9">
                  <c:v>862388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D-4F37-8207-C9223BE7A745}"/>
            </c:ext>
          </c:extLst>
        </c:ser>
        <c:ser>
          <c:idx val="2"/>
          <c:order val="2"/>
          <c:tx>
            <c:strRef>
              <c:f>Analytics_Pivots!$L$4</c:f>
              <c:strCache>
                <c:ptCount val="1"/>
                <c:pt idx="0">
                  <c:v>Sum of In Apple Playlists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Analytics_Pivots!$L$5:$L$15</c:f>
              <c:numCache>
                <c:formatCode>General</c:formatCode>
                <c:ptCount val="10"/>
                <c:pt idx="0">
                  <c:v>47595</c:v>
                </c:pt>
                <c:pt idx="1">
                  <c:v>11399</c:v>
                </c:pt>
                <c:pt idx="2">
                  <c:v>22808</c:v>
                </c:pt>
                <c:pt idx="3">
                  <c:v>68114</c:v>
                </c:pt>
                <c:pt idx="4">
                  <c:v>6519</c:v>
                </c:pt>
                <c:pt idx="5">
                  <c:v>19993</c:v>
                </c:pt>
                <c:pt idx="6">
                  <c:v>57424</c:v>
                </c:pt>
                <c:pt idx="7">
                  <c:v>177751</c:v>
                </c:pt>
                <c:pt idx="8">
                  <c:v>164285</c:v>
                </c:pt>
                <c:pt idx="9">
                  <c:v>1309668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CD-4F37-8207-C9223BE7A745}"/>
            </c:ext>
          </c:extLst>
        </c:ser>
        <c:ser>
          <c:idx val="3"/>
          <c:order val="3"/>
          <c:tx>
            <c:strRef>
              <c:f>Analytics_Pivots!$M$4</c:f>
              <c:strCache>
                <c:ptCount val="1"/>
                <c:pt idx="0">
                  <c:v>Sum of In Deezer Playlists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Analytics_Pivots!$M$5:$M$15</c:f>
              <c:numCache>
                <c:formatCode>General</c:formatCode>
                <c:ptCount val="10"/>
                <c:pt idx="0">
                  <c:v>1892</c:v>
                </c:pt>
                <c:pt idx="1">
                  <c:v>78</c:v>
                </c:pt>
                <c:pt idx="2">
                  <c:v>80</c:v>
                </c:pt>
                <c:pt idx="3">
                  <c:v>6008</c:v>
                </c:pt>
                <c:pt idx="4">
                  <c:v>64</c:v>
                </c:pt>
                <c:pt idx="5">
                  <c:v>2094</c:v>
                </c:pt>
                <c:pt idx="6">
                  <c:v>701</c:v>
                </c:pt>
                <c:pt idx="7">
                  <c:v>1648</c:v>
                </c:pt>
                <c:pt idx="8">
                  <c:v>8227</c:v>
                </c:pt>
                <c:pt idx="9">
                  <c:v>95995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CD-4F37-8207-C9223BE7A745}"/>
            </c:ext>
          </c:extLst>
        </c:ser>
        <c:ser>
          <c:idx val="4"/>
          <c:order val="4"/>
          <c:tx>
            <c:strRef>
              <c:f>Analytics_Pivots!$N$4</c:f>
              <c:strCache>
                <c:ptCount val="1"/>
                <c:pt idx="0">
                  <c:v>Sum of In YouTube Playlists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Analytics_Pivots!$I$5:$I$15</c:f>
              <c:strCache>
                <c:ptCount val="10"/>
                <c:pt idx="0">
                  <c:v>Soul</c:v>
                </c:pt>
                <c:pt idx="1">
                  <c:v>Alternative R&amp;B</c:v>
                </c:pt>
                <c:pt idx="2">
                  <c:v>Irish Singer-Songwriter</c:v>
                </c:pt>
                <c:pt idx="3">
                  <c:v>EDM</c:v>
                </c:pt>
                <c:pt idx="4">
                  <c:v>Celtic Rock</c:v>
                </c:pt>
                <c:pt idx="5">
                  <c:v>Danish Pop</c:v>
                </c:pt>
                <c:pt idx="6">
                  <c:v>Electronic Trap</c:v>
                </c:pt>
                <c:pt idx="7">
                  <c:v>Canadian Contemporary R&amp;B</c:v>
                </c:pt>
                <c:pt idx="8">
                  <c:v>Electropop</c:v>
                </c:pt>
                <c:pt idx="9">
                  <c:v>Pop</c:v>
                </c:pt>
              </c:strCache>
            </c:strRef>
          </c:cat>
          <c:val>
            <c:numRef>
              <c:f>Analytics_Pivots!$N$5:$N$15</c:f>
              <c:numCache>
                <c:formatCode>General</c:formatCode>
                <c:ptCount val="10"/>
                <c:pt idx="0">
                  <c:v>46912</c:v>
                </c:pt>
                <c:pt idx="1">
                  <c:v>12337</c:v>
                </c:pt>
                <c:pt idx="2">
                  <c:v>29903</c:v>
                </c:pt>
                <c:pt idx="3">
                  <c:v>92779</c:v>
                </c:pt>
                <c:pt idx="4">
                  <c:v>20636</c:v>
                </c:pt>
                <c:pt idx="5">
                  <c:v>17362</c:v>
                </c:pt>
                <c:pt idx="6">
                  <c:v>47906</c:v>
                </c:pt>
                <c:pt idx="7">
                  <c:v>139223</c:v>
                </c:pt>
                <c:pt idx="8">
                  <c:v>311432</c:v>
                </c:pt>
                <c:pt idx="9">
                  <c:v>1181431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CD-4F37-8207-C9223BE7A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5182600"/>
        <c:axId val="595184648"/>
      </c:barChart>
      <c:catAx>
        <c:axId val="59518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84648"/>
        <c:crosses val="autoZero"/>
        <c:auto val="1"/>
        <c:lblAlgn val="ctr"/>
        <c:lblOffset val="100"/>
        <c:noMultiLvlLbl val="0"/>
      </c:catAx>
      <c:valAx>
        <c:axId val="595184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00]\ #,##0.0,,,&quot;B&quot;;[&gt;=1000000]\ #,##0.0,,&quot;M&quot;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8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1.xlsx]Analytics_Pivots!PivotTable2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Analytics_Pivots!$B$3</c:f>
              <c:strCache>
                <c:ptCount val="1"/>
                <c:pt idx="0">
                  <c:v>Average of Energy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Analytics_Pivots!$B$4:$B$8</c:f>
              <c:numCache>
                <c:formatCode>#,##0.0</c:formatCode>
                <c:ptCount val="4"/>
                <c:pt idx="0">
                  <c:v>65.812080536912745</c:v>
                </c:pt>
                <c:pt idx="1">
                  <c:v>72.665071770334933</c:v>
                </c:pt>
                <c:pt idx="2">
                  <c:v>72.966442953020135</c:v>
                </c:pt>
                <c:pt idx="3">
                  <c:v>69.835443037974684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2-4DF8-921D-4E256C06EBF2}"/>
            </c:ext>
          </c:extLst>
        </c:ser>
        <c:ser>
          <c:idx val="1"/>
          <c:order val="1"/>
          <c:tx>
            <c:strRef>
              <c:f>Analytics_Pivots!$C$3</c:f>
              <c:strCache>
                <c:ptCount val="1"/>
                <c:pt idx="0">
                  <c:v>Average of Danceability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Analytics_Pivots!$C$4:$C$8</c:f>
              <c:numCache>
                <c:formatCode>#,##0.0</c:formatCode>
                <c:ptCount val="4"/>
                <c:pt idx="0">
                  <c:v>66.483221476510067</c:v>
                </c:pt>
                <c:pt idx="1">
                  <c:v>63.033492822966508</c:v>
                </c:pt>
                <c:pt idx="2">
                  <c:v>65.765100671140942</c:v>
                </c:pt>
                <c:pt idx="3">
                  <c:v>62.354430379746837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32-4DF8-921D-4E256C06EBF2}"/>
            </c:ext>
          </c:extLst>
        </c:ser>
        <c:ser>
          <c:idx val="2"/>
          <c:order val="2"/>
          <c:tx>
            <c:strRef>
              <c:f>Analytics_Pivots!$D$3</c:f>
              <c:strCache>
                <c:ptCount val="1"/>
                <c:pt idx="0">
                  <c:v>Average of Valence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Analytics_Pivots!$D$4:$D$8</c:f>
              <c:numCache>
                <c:formatCode>#,##0.0</c:formatCode>
                <c:ptCount val="4"/>
                <c:pt idx="0">
                  <c:v>53.006711409395976</c:v>
                </c:pt>
                <c:pt idx="1">
                  <c:v>52.004784688995215</c:v>
                </c:pt>
                <c:pt idx="2">
                  <c:v>53.328859060402685</c:v>
                </c:pt>
                <c:pt idx="3">
                  <c:v>50.645569620253163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32-4DF8-921D-4E256C06EBF2}"/>
            </c:ext>
          </c:extLst>
        </c:ser>
        <c:ser>
          <c:idx val="3"/>
          <c:order val="3"/>
          <c:tx>
            <c:strRef>
              <c:f>Analytics_Pivots!$E$3</c:f>
              <c:strCache>
                <c:ptCount val="1"/>
                <c:pt idx="0">
                  <c:v>Average of Bpm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Analytics_Pivots!$A$4:$A$8</c:f>
              <c:strCache>
                <c:ptCount val="4"/>
                <c:pt idx="0">
                  <c:v>1B+</c:v>
                </c:pt>
                <c:pt idx="1">
                  <c:v>250M–500M</c:v>
                </c:pt>
                <c:pt idx="2">
                  <c:v>500M–1B</c:v>
                </c:pt>
                <c:pt idx="3">
                  <c:v>Under 250M</c:v>
                </c:pt>
              </c:strCache>
            </c:strRef>
          </c:cat>
          <c:val>
            <c:numRef>
              <c:f>Analytics_Pivots!$E$4:$E$8</c:f>
              <c:numCache>
                <c:formatCode>#,##0.0</c:formatCode>
                <c:ptCount val="4"/>
                <c:pt idx="0">
                  <c:v>117.85234899328859</c:v>
                </c:pt>
                <c:pt idx="1">
                  <c:v>119.94736842105263</c:v>
                </c:pt>
                <c:pt idx="2">
                  <c:v>118.59060402684564</c:v>
                </c:pt>
                <c:pt idx="3">
                  <c:v>118.27848101265823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32-4DF8-921D-4E256C06E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1918216"/>
        <c:axId val="625071624"/>
      </c:barChart>
      <c:catAx>
        <c:axId val="62191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71624"/>
        <c:crosses val="autoZero"/>
        <c:auto val="1"/>
        <c:lblAlgn val="ctr"/>
        <c:lblOffset val="100"/>
        <c:noMultiLvlLbl val="0"/>
      </c:catAx>
      <c:valAx>
        <c:axId val="62507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91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Dataset 1.xlsx]Analytics_Pivots!PivotTable4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ARTISTS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Analytics_Pivots!$B$18</c:f>
              <c:strCache>
                <c:ptCount val="1"/>
                <c:pt idx="0">
                  <c:v>Sum of Streams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Analytics_Pivots!$B$19:$B$29</c:f>
              <c:numCache>
                <c:formatCode>General</c:formatCode>
                <c:ptCount val="10"/>
                <c:pt idx="0">
                  <c:v>16574703164</c:v>
                </c:pt>
                <c:pt idx="1">
                  <c:v>15299104260</c:v>
                </c:pt>
                <c:pt idx="2">
                  <c:v>12693709669</c:v>
                </c:pt>
                <c:pt idx="3">
                  <c:v>12638455318</c:v>
                </c:pt>
                <c:pt idx="4">
                  <c:v>12602574946</c:v>
                </c:pt>
                <c:pt idx="5">
                  <c:v>11310810977</c:v>
                </c:pt>
                <c:pt idx="6">
                  <c:v>11136323709</c:v>
                </c:pt>
                <c:pt idx="7">
                  <c:v>10029811509</c:v>
                </c:pt>
                <c:pt idx="8">
                  <c:v>9953327973</c:v>
                </c:pt>
                <c:pt idx="9">
                  <c:v>9621563820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E-4499-8C87-792C647C4115}"/>
            </c:ext>
          </c:extLst>
        </c:ser>
        <c:ser>
          <c:idx val="1"/>
          <c:order val="1"/>
          <c:tx>
            <c:strRef>
              <c:f>Analytics_Pivots!$C$18</c:f>
              <c:strCache>
                <c:ptCount val="1"/>
                <c:pt idx="0">
                  <c:v>Sum of Billboard Rankings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Analytics_Pivots!$C$19:$C$29</c:f>
              <c:numCache>
                <c:formatCode>0.0</c:formatCode>
                <c:ptCount val="10"/>
                <c:pt idx="0">
                  <c:v>68.545454545454547</c:v>
                </c:pt>
                <c:pt idx="1">
                  <c:v>79.86666666666666</c:v>
                </c:pt>
                <c:pt idx="2">
                  <c:v>27.333333333333332</c:v>
                </c:pt>
                <c:pt idx="3">
                  <c:v>31.7</c:v>
                </c:pt>
                <c:pt idx="4">
                  <c:v>46</c:v>
                </c:pt>
                <c:pt idx="5">
                  <c:v>92.555555555555557</c:v>
                </c:pt>
                <c:pt idx="6">
                  <c:v>67.857142857142861</c:v>
                </c:pt>
                <c:pt idx="7">
                  <c:v>80</c:v>
                </c:pt>
                <c:pt idx="8">
                  <c:v>104.13333333333334</c:v>
                </c:pt>
                <c:pt idx="9">
                  <c:v>47.888888888888886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E-4499-8C87-792C647C4115}"/>
            </c:ext>
          </c:extLst>
        </c:ser>
        <c:ser>
          <c:idx val="2"/>
          <c:order val="2"/>
          <c:tx>
            <c:strRef>
              <c:f>Analytics_Pivots!$D$18</c:f>
              <c:strCache>
                <c:ptCount val="1"/>
                <c:pt idx="0">
                  <c:v>Average of On Spotify Charts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Analytics_Pivots!$D$19:$D$29</c:f>
              <c:numCache>
                <c:formatCode>0.0</c:formatCode>
                <c:ptCount val="10"/>
                <c:pt idx="0">
                  <c:v>92.454545454545453</c:v>
                </c:pt>
                <c:pt idx="1">
                  <c:v>163</c:v>
                </c:pt>
                <c:pt idx="2">
                  <c:v>75.222222222222229</c:v>
                </c:pt>
                <c:pt idx="3">
                  <c:v>123.8</c:v>
                </c:pt>
                <c:pt idx="4">
                  <c:v>115.18181818181819</c:v>
                </c:pt>
                <c:pt idx="5">
                  <c:v>143.11111111111111</c:v>
                </c:pt>
                <c:pt idx="6">
                  <c:v>207</c:v>
                </c:pt>
                <c:pt idx="7">
                  <c:v>152.27272727272728</c:v>
                </c:pt>
                <c:pt idx="8">
                  <c:v>227.13333333333333</c:v>
                </c:pt>
                <c:pt idx="9">
                  <c:v>143.33333333333334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AE-4499-8C87-792C647C4115}"/>
            </c:ext>
          </c:extLst>
        </c:ser>
        <c:ser>
          <c:idx val="3"/>
          <c:order val="3"/>
          <c:tx>
            <c:strRef>
              <c:f>Analytics_Pivots!$E$18</c:f>
              <c:strCache>
                <c:ptCount val="1"/>
                <c:pt idx="0">
                  <c:v>Average of On Apple Charts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Analytics_Pivots!$A$19:$A$29</c:f>
              <c:strCache>
                <c:ptCount val="10"/>
                <c:pt idx="0">
                  <c:v>Ed Sheeran</c:v>
                </c:pt>
                <c:pt idx="1">
                  <c:v>Maroon 5</c:v>
                </c:pt>
                <c:pt idx="2">
                  <c:v>Shawn Mendes</c:v>
                </c:pt>
                <c:pt idx="3">
                  <c:v>Calvin Harris</c:v>
                </c:pt>
                <c:pt idx="4">
                  <c:v>The Chainsmokers</c:v>
                </c:pt>
                <c:pt idx="5">
                  <c:v>Adele</c:v>
                </c:pt>
                <c:pt idx="6">
                  <c:v>Justin Bieber</c:v>
                </c:pt>
                <c:pt idx="7">
                  <c:v>Bruno Mars</c:v>
                </c:pt>
                <c:pt idx="8">
                  <c:v>Rihanna</c:v>
                </c:pt>
                <c:pt idx="9">
                  <c:v>Ariana Grande</c:v>
                </c:pt>
              </c:strCache>
            </c:strRef>
          </c:cat>
          <c:val>
            <c:numRef>
              <c:f>Analytics_Pivots!$E$19:$E$29</c:f>
              <c:numCache>
                <c:formatCode>0.0</c:formatCode>
                <c:ptCount val="10"/>
                <c:pt idx="0">
                  <c:v>66.63636363636364</c:v>
                </c:pt>
                <c:pt idx="1">
                  <c:v>50</c:v>
                </c:pt>
                <c:pt idx="2">
                  <c:v>27.333333333333332</c:v>
                </c:pt>
                <c:pt idx="3">
                  <c:v>38.4</c:v>
                </c:pt>
                <c:pt idx="4">
                  <c:v>46</c:v>
                </c:pt>
                <c:pt idx="5">
                  <c:v>35.111111111111114</c:v>
                </c:pt>
                <c:pt idx="6">
                  <c:v>33.214285714285715</c:v>
                </c:pt>
                <c:pt idx="7">
                  <c:v>61.81818181818182</c:v>
                </c:pt>
                <c:pt idx="8">
                  <c:v>51.733333333333334</c:v>
                </c:pt>
                <c:pt idx="9">
                  <c:v>55.777777777777779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AE-4499-8C87-792C647C4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592008"/>
        <c:axId val="470885896"/>
      </c:barChart>
      <c:catAx>
        <c:axId val="470592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85896"/>
        <c:crosses val="autoZero"/>
        <c:auto val="1"/>
        <c:lblAlgn val="ctr"/>
        <c:lblOffset val="100"/>
        <c:noMultiLvlLbl val="0"/>
      </c:catAx>
      <c:valAx>
        <c:axId val="47088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1000000000]#,##0.0,,,&quot;B&quot;;[&gt;=1000000]#,##0.0,,&quot;M&quot;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92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9525</xdr:rowOff>
    </xdr:from>
    <xdr:to>
      <xdr:col>3</xdr:col>
      <xdr:colOff>733425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F69251-963E-90BB-E8E7-2BFE9F99A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733425</xdr:colOff>
      <xdr:row>29</xdr:row>
      <xdr:rowOff>38100</xdr:rowOff>
    </xdr:from>
    <xdr:to>
      <xdr:col>6</xdr:col>
      <xdr:colOff>0</xdr:colOff>
      <xdr:row>43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Artist">
              <a:extLst>
                <a:ext uri="{FF2B5EF4-FFF2-40B4-BE49-F238E27FC236}">
                  <a16:creationId xmlns:a16="http://schemas.microsoft.com/office/drawing/2014/main" id="{56F3E22D-994D-0A44-8790-2062CD93B659}"/>
                </a:ext>
                <a:ext uri="{147F2762-F138-4A5C-976F-8EAC2B608ADB}">
                  <a16:predDERef xmlns:a16="http://schemas.microsoft.com/office/drawing/2014/main" pred="{A4F69251-963E-90BB-E8E7-2BFE9F99A8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tis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00" y="5562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8</xdr:row>
      <xdr:rowOff>28575</xdr:rowOff>
    </xdr:from>
    <xdr:to>
      <xdr:col>2</xdr:col>
      <xdr:colOff>1419225</xdr:colOff>
      <xdr:row>16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5BDC9A9-A318-55DF-083A-0AD32047DF2C}"/>
            </a:ext>
            <a:ext uri="{147F2762-F138-4A5C-976F-8EAC2B608ADB}">
              <a16:predDERef xmlns:a16="http://schemas.microsoft.com/office/drawing/2014/main" pred="{56F3E22D-994D-0A44-8790-2062CD93B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1419225</xdr:colOff>
      <xdr:row>8</xdr:row>
      <xdr:rowOff>47625</xdr:rowOff>
    </xdr:from>
    <xdr:to>
      <xdr:col>4</xdr:col>
      <xdr:colOff>495300</xdr:colOff>
      <xdr:row>16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Streams Category">
              <a:extLst>
                <a:ext uri="{FF2B5EF4-FFF2-40B4-BE49-F238E27FC236}">
                  <a16:creationId xmlns:a16="http://schemas.microsoft.com/office/drawing/2014/main" id="{45B4B351-BB48-CC22-724A-F956A1C79897}"/>
                </a:ext>
                <a:ext uri="{147F2762-F138-4A5C-976F-8EAC2B608ADB}">
                  <a16:predDERef xmlns:a16="http://schemas.microsoft.com/office/drawing/2014/main" pred="{D5BDC9A9-A318-55DF-083A-0AD32047DF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reams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3825" y="1571625"/>
              <a:ext cx="1828800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14</xdr:col>
      <xdr:colOff>9525</xdr:colOff>
      <xdr:row>2</xdr:row>
      <xdr:rowOff>85725</xdr:rowOff>
    </xdr:from>
    <xdr:to>
      <xdr:col>30</xdr:col>
      <xdr:colOff>85725</xdr:colOff>
      <xdr:row>16</xdr:row>
      <xdr:rowOff>161925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DE8B6D4-9A78-7874-0DAB-FC66D7CAEBF8}"/>
            </a:ext>
            <a:ext uri="{147F2762-F138-4A5C-976F-8EAC2B608ADB}">
              <a16:predDERef xmlns:a16="http://schemas.microsoft.com/office/drawing/2014/main" pred="{45B4B351-BB48-CC22-724A-F956A1C79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30</xdr:col>
      <xdr:colOff>104775</xdr:colOff>
      <xdr:row>3</xdr:row>
      <xdr:rowOff>19050</xdr:rowOff>
    </xdr:from>
    <xdr:to>
      <xdr:col>35</xdr:col>
      <xdr:colOff>257175</xdr:colOff>
      <xdr:row>16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Genre">
              <a:extLst>
                <a:ext uri="{FF2B5EF4-FFF2-40B4-BE49-F238E27FC236}">
                  <a16:creationId xmlns:a16="http://schemas.microsoft.com/office/drawing/2014/main" id="{A57AE314-FC59-67FA-04F1-B5129E048F09}"/>
                </a:ext>
                <a:ext uri="{147F2762-F138-4A5C-976F-8EAC2B608ADB}">
                  <a16:predDERef xmlns:a16="http://schemas.microsoft.com/office/drawing/2014/main" pred="{9DE8B6D4-9A78-7874-0DAB-FC66D7CAEB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26475" y="5905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180975</xdr:rowOff>
    </xdr:from>
    <xdr:to>
      <xdr:col>5</xdr:col>
      <xdr:colOff>333375</xdr:colOff>
      <xdr:row>20</xdr:row>
      <xdr:rowOff>66675</xdr:rowOff>
    </xdr:to>
    <xdr:graphicFrame macro="">
      <xdr:nvGraphicFramePr>
        <xdr:cNvPr id="2" name="Chart 13">
          <a:extLst>
            <a:ext uri="{FF2B5EF4-FFF2-40B4-BE49-F238E27FC236}">
              <a16:creationId xmlns:a16="http://schemas.microsoft.com/office/drawing/2014/main" id="{96D770DE-AED4-47D6-80F2-E9D8D2E37638}"/>
            </a:ext>
            <a:ext uri="{147F2762-F138-4A5C-976F-8EAC2B608ADB}">
              <a16:predDERef xmlns:a16="http://schemas.microsoft.com/office/drawing/2014/main" pred="{45B4B351-BB48-CC22-724A-F956A1C79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6</xdr:row>
      <xdr:rowOff>19050</xdr:rowOff>
    </xdr:from>
    <xdr:to>
      <xdr:col>10</xdr:col>
      <xdr:colOff>638175</xdr:colOff>
      <xdr:row>20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EA21D3CA-C4B6-4896-846D-69E8611A390F}"/>
            </a:ext>
            <a:ext uri="{147F2762-F138-4A5C-976F-8EAC2B608ADB}">
              <a16:predDERef xmlns:a16="http://schemas.microsoft.com/office/drawing/2014/main" pred="{96D770DE-AED4-47D6-80F2-E9D8D2E37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457200</xdr:colOff>
      <xdr:row>19</xdr:row>
      <xdr:rowOff>180975</xdr:rowOff>
    </xdr:from>
    <xdr:to>
      <xdr:col>8</xdr:col>
      <xdr:colOff>200025</xdr:colOff>
      <xdr:row>34</xdr:row>
      <xdr:rowOff>66675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E7DE360-E68B-4A7E-9DAB-237B3136E569}"/>
            </a:ext>
            <a:ext uri="{147F2762-F138-4A5C-976F-8EAC2B608ADB}">
              <a16:predDERef xmlns:a16="http://schemas.microsoft.com/office/drawing/2014/main" pred="{EA21D3CA-C4B6-4896-846D-69E8611A3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693199884263" createdVersion="8" refreshedVersion="8" minRefreshableVersion="3" recordCount="586" xr:uid="{26C35C93-1CCE-4092-8247-720F47730056}">
  <cacheSource type="worksheet">
    <worksheetSource name="STREAMS_STATS"/>
  </cacheSource>
  <cacheFields count="28">
    <cacheField name="Song" numFmtId="0">
      <sharedItems containsMixedTypes="1" containsNumber="1" containsInteger="1" minValue="3" maxValue="43776"/>
    </cacheField>
    <cacheField name="Artist" numFmtId="0">
      <sharedItems count="183">
        <s v="Britney Spears"/>
        <s v="Beyoncé"/>
        <s v="Mariah Carey"/>
        <s v="The Chainsmokers"/>
        <s v="will.i.am"/>
        <s v="Taylor Swift"/>
        <s v="Bruno Mars"/>
        <s v="David Guetta"/>
        <s v="Lukas Graham"/>
        <s v="Coldplay"/>
        <s v="Fergie"/>
        <s v="Christina Perri"/>
        <s v="Miley Cyrus"/>
        <s v="Jennifer Lopez"/>
        <s v="Lady Gaga"/>
        <s v="Sia"/>
        <s v="Meghan Trainor"/>
        <s v="R3HAB"/>
        <s v="Adele"/>
        <s v="John Legend"/>
        <s v="OneRepublic"/>
        <s v="Rihanna"/>
        <s v="Nicki Minaj"/>
        <s v="Fifth Harmony"/>
        <s v="Neon Trees"/>
        <s v="Maroon 5"/>
        <s v="Ed Sheeran"/>
        <s v="Ellie Goulding"/>
        <s v="Rita Ora"/>
        <s v="Charlie Puth"/>
        <s v="Justin Bieber"/>
        <s v="Gwen Stefani"/>
        <s v="Halsey"/>
        <s v="Selena Gomez"/>
        <s v="Jessie J"/>
        <s v="Passenger"/>
        <s v="Nelly Furtado"/>
        <s v="Labrinth"/>
        <s v="One Direction"/>
        <s v="Katy Perry"/>
        <s v="Kesha"/>
        <s v="Calvin Harris"/>
        <s v="P!nk"/>
        <s v="DNCE"/>
        <s v="Robin Thicke"/>
        <s v="Cardi B"/>
        <s v="Demi Lovato"/>
        <s v="RedOne"/>
        <s v="Charli XCX"/>
        <s v="Christina Aguilera"/>
        <s v="Sara Bareilles"/>
        <s v="Ariana Grande"/>
        <s v="Taio Cruz"/>
        <s v="Avicii"/>
        <s v="Janet Jackson"/>
        <s v="Carly Rae Jepsen"/>
        <s v="Sigala"/>
        <s v="Lea Michele"/>
        <s v="Macklemore &amp; Ryan Lewis"/>
        <s v="Shakira"/>
        <s v="Justin Timberlake"/>
        <s v="Hailee Steinfeld"/>
        <s v="T.I."/>
        <s v="Pitbull"/>
        <s v="Nick Jonas"/>
        <s v="Zedd"/>
        <s v="Emeli Sandé"/>
        <s v="Flo Rida"/>
        <s v="Major Lazer"/>
        <s v="Pharrell Williams"/>
        <s v="Daddy Yankee"/>
        <s v="Tove Lo"/>
        <s v="Mike Posner"/>
        <s v="Snakehips"/>
        <s v="Camila Cabello"/>
        <s v="Jennifer Hudson"/>
        <s v="Years &amp; Years"/>
        <s v="Luis Fonsi"/>
        <s v="Usher"/>
        <s v="Alicia Keys"/>
        <s v="Florence + The Machine"/>
        <s v="Shawn Mendes"/>
        <s v="Jess Glynne"/>
        <s v="Mabel"/>
        <s v="Swedish House Mafia"/>
        <s v="ZAYN"/>
        <s v="The Weeknd"/>
        <s v="Sean Kingston"/>
        <s v="BØRNS"/>
        <s v="Silk City"/>
        <s v="Liam Payne"/>
        <s v="Iggy Azalea"/>
        <s v="Bebe Rexha"/>
        <s v="MØ"/>
        <s v="Enrique Iglesias"/>
        <s v="Mark Ronson"/>
        <s v="Kygo"/>
        <s v="Jewel"/>
        <s v="Kelly Rowland"/>
        <s v="Daft Punk"/>
        <s v="Madonna"/>
        <s v="The Wanted"/>
        <s v="Lizzo"/>
        <s v="Owl City"/>
        <s v="The Script"/>
        <s v="Marshmello"/>
        <s v="Kelly Clarkson"/>
        <s v="Alessia Cara"/>
        <s v="Alesso"/>
        <s v="Train"/>
        <s v="G-Eazy"/>
        <s v="Drake"/>
        <s v="Sam Smith"/>
        <s v="Little Mix"/>
        <s v="Icona Pop"/>
        <s v="Dua Lipa"/>
        <s v="Adam Lambert"/>
        <s v="DJ Khaled"/>
        <s v="The Black Eyed Peas"/>
        <s v="James Arthur"/>
        <s v="Martin Garrix"/>
        <s v="Birdy"/>
        <s v="Disclosure"/>
        <s v="Rudimental"/>
        <s v="N.E.R.D"/>
        <s v="DJ Snake"/>
        <s v="Ne-Yo"/>
        <s v="Far East Movement"/>
        <s v="Hilary Duff"/>
        <s v="Lana Del Rey"/>
        <s v="Cashmere Cat"/>
        <s v="John Newman"/>
        <s v="Michael Jackson"/>
        <s v="Eminem"/>
        <s v="Selena Gomez &amp; The Scene"/>
        <s v="Jonas Blue"/>
        <s v="J Balvin"/>
        <s v="Austin Mahone"/>
        <s v="Kanye West"/>
        <s v="Ricky Martin"/>
        <s v="3OH!3"/>
        <s v="Troye Sivan"/>
        <s v="Zara Larsson"/>
        <s v="Chris Brown"/>
        <s v="Robin Schulz"/>
        <s v="Jonas Brothers"/>
        <s v="Paloma Faith"/>
        <s v="Ciara"/>
        <s v="LMFAO"/>
        <s v="Missy Elliott"/>
        <s v="Joey Montana"/>
        <s v="Bastille"/>
        <s v="Lilly Wood and The Prick"/>
        <s v="Clean Bandit"/>
        <s v="Lost Frequencies"/>
        <s v="CNCO"/>
        <s v="Galantis"/>
        <s v="Avril Lavigne"/>
        <s v="MAGIC!"/>
        <s v="Naughty Boy"/>
        <s v="A Great Big World"/>
        <s v="Wiz Khalifa"/>
        <s v="5 Seconds of Summer"/>
        <s v="Lily Allen"/>
        <s v="Harry Styles"/>
        <s v="Niall Horan"/>
        <s v="fun."/>
        <s v="Lewis Capaldi"/>
        <s v="Gym Class Heroes"/>
        <s v="Ansel Elgort"/>
        <s v="Hozier"/>
        <s v="Khalid"/>
        <s v="Jason Derulo"/>
        <s v="Lorde"/>
        <s v="Dan + Shay"/>
        <s v="Alan Walker"/>
        <s v="Hot Chelle Rae"/>
        <s v="SHAED"/>
        <s v="Sleeping At Last"/>
        <s v="Olly Murs"/>
        <s v="Mr. Probz"/>
        <s v="Hayley Kiyoko"/>
        <s v="Tinie Tempah"/>
      </sharedItems>
    </cacheField>
    <cacheField name="Genre" numFmtId="0">
      <sharedItems count="48">
        <s v="Dance Pop"/>
        <s v="Electropop"/>
        <s v="Pop"/>
        <s v="Danish Pop"/>
        <s v="Permanent Wave"/>
        <s v="Australian Dance"/>
        <s v="Big Room"/>
        <s v="British Soul"/>
        <s v="Neo Mellow"/>
        <s v="Barbadian Pop"/>
        <s v="Indie Pop"/>
        <s v="Canadian Pop"/>
        <s v="Australian Pop"/>
        <s v="Folk-Pop"/>
        <s v="Canadian Latin"/>
        <s v="Boy Band"/>
        <s v="Moroccan Pop"/>
        <s v="Candy Pop"/>
        <s v="Acoustic Pop"/>
        <s v="Hollywood"/>
        <s v="Colombian Pop"/>
        <s v="Atl Hip Hop"/>
        <s v="Complextro"/>
        <s v="Latin"/>
        <s v="Hip Hop"/>
        <s v="Art Pop"/>
        <s v="Canadian Contemporary R&amp;B"/>
        <s v="EDM"/>
        <s v="Australian Hip Hop"/>
        <s v="Alaska Indie"/>
        <s v="Electro"/>
        <s v="Celtic Rock"/>
        <s v="Soul"/>
        <s v="Canadian Hip Hop"/>
        <s v="House"/>
        <s v="Electronic Trap"/>
        <s v="Downtempo"/>
        <s v="Detroit Hip Hop"/>
        <s v="Chicago Rap"/>
        <s v="Metropopolis"/>
        <s v="French Indie Pop"/>
        <s v="Belgian EDM"/>
        <s v="Tropical House"/>
        <s v="Baroque Pop"/>
        <s v="Irish Singer-Songwriter"/>
        <s v="Alternative R&amp;B"/>
        <s v="Contemporary Country"/>
        <s v="Electro House"/>
      </sharedItems>
    </cacheField>
    <cacheField name="Year" numFmtId="0">
      <sharedItems containsSemiMixedTypes="0" containsString="0" containsNumber="1" containsInteger="1" minValue="2010" maxValue="2019"/>
    </cacheField>
    <cacheField name="Streams" numFmtId="164">
      <sharedItems containsSemiMixedTypes="0" containsString="0" containsNumber="1" containsInteger="1" minValue="700" maxValue="3916591492"/>
    </cacheField>
    <cacheField name="Streams Category" numFmtId="164">
      <sharedItems count="4">
        <s v="250M–500M"/>
        <s v="500M–1B"/>
        <s v="Under 250M"/>
        <s v="1B+"/>
      </sharedItems>
    </cacheField>
    <cacheField name="In Spotify Playlists" numFmtId="0">
      <sharedItems containsSemiMixedTypes="0" containsString="0" containsNumber="1" containsInteger="1" minValue="1338" maxValue="62170"/>
    </cacheField>
    <cacheField name="On Spotify Charts" numFmtId="0">
      <sharedItems containsSemiMixedTypes="0" containsString="0" containsNumber="1" containsInteger="1" minValue="1" maxValue="450" count="323">
        <n v="258"/>
        <n v="396"/>
        <n v="317"/>
        <n v="331"/>
        <n v="444"/>
        <n v="274"/>
        <n v="326"/>
        <n v="421"/>
        <n v="197"/>
        <n v="27"/>
        <n v="344"/>
        <n v="429"/>
        <n v="362"/>
        <n v="21"/>
        <n v="308"/>
        <n v="180"/>
        <n v="147"/>
        <n v="121"/>
        <n v="114"/>
        <n v="312"/>
        <n v="2"/>
        <n v="325"/>
        <n v="206"/>
        <n v="363"/>
        <n v="366"/>
        <n v="299"/>
        <n v="158"/>
        <n v="88"/>
        <n v="94"/>
        <n v="120"/>
        <n v="445"/>
        <n v="401"/>
        <n v="164"/>
        <n v="19"/>
        <n v="84"/>
        <n v="238"/>
        <n v="85"/>
        <n v="213"/>
        <n v="47"/>
        <n v="133"/>
        <n v="340"/>
        <n v="116"/>
        <n v="3"/>
        <n v="201"/>
        <n v="383"/>
        <n v="244"/>
        <n v="128"/>
        <n v="294"/>
        <n v="371"/>
        <n v="137"/>
        <n v="132"/>
        <n v="68"/>
        <n v="240"/>
        <n v="413"/>
        <n v="139"/>
        <n v="248"/>
        <n v="400"/>
        <n v="392"/>
        <n v="278"/>
        <n v="218"/>
        <n v="388"/>
        <n v="373"/>
        <n v="334"/>
        <n v="243"/>
        <n v="231"/>
        <n v="410"/>
        <n v="207"/>
        <n v="45"/>
        <n v="87"/>
        <n v="28"/>
        <n v="165"/>
        <n v="327"/>
        <n v="230"/>
        <n v="376"/>
        <n v="58"/>
        <n v="100"/>
        <n v="313"/>
        <n v="418"/>
        <n v="382"/>
        <n v="398"/>
        <n v="179"/>
        <n v="149"/>
        <n v="105"/>
        <n v="339"/>
        <n v="289"/>
        <n v="157"/>
        <n v="247"/>
        <n v="394"/>
        <n v="280"/>
        <n v="161"/>
        <n v="407"/>
        <n v="234"/>
        <n v="389"/>
        <n v="136"/>
        <n v="300"/>
        <n v="241"/>
        <n v="126"/>
        <n v="129"/>
        <n v="288"/>
        <n v="70"/>
        <n v="52"/>
        <n v="219"/>
        <n v="64"/>
        <n v="265"/>
        <n v="82"/>
        <n v="379"/>
        <n v="225"/>
        <n v="290"/>
        <n v="155"/>
        <n v="122"/>
        <n v="252"/>
        <n v="42"/>
        <n v="53"/>
        <n v="320"/>
        <n v="275"/>
        <n v="390"/>
        <n v="73"/>
        <n v="272"/>
        <n v="51"/>
        <n v="293"/>
        <n v="335"/>
        <n v="222"/>
        <n v="20"/>
        <n v="72"/>
        <n v="160"/>
        <n v="194"/>
        <n v="124"/>
        <n v="237"/>
        <n v="378"/>
        <n v="242"/>
        <n v="305"/>
        <n v="166"/>
        <n v="77"/>
        <n v="261"/>
        <n v="387"/>
        <n v="438"/>
        <n v="173"/>
        <n v="23"/>
        <n v="253"/>
        <n v="359"/>
        <n v="279"/>
        <n v="76"/>
        <n v="428"/>
        <n v="14"/>
        <n v="113"/>
        <n v="432"/>
        <n v="44"/>
        <n v="172"/>
        <n v="30"/>
        <n v="364"/>
        <n v="210"/>
        <n v="295"/>
        <n v="106"/>
        <n v="38"/>
        <n v="403"/>
        <n v="50"/>
        <n v="437"/>
        <n v="4"/>
        <n v="90"/>
        <n v="416"/>
        <n v="322"/>
        <n v="6"/>
        <n v="135"/>
        <n v="150"/>
        <n v="15"/>
        <n v="232"/>
        <n v="159"/>
        <n v="1"/>
        <n v="205"/>
        <n v="209"/>
        <n v="435"/>
        <n v="226"/>
        <n v="287"/>
        <n v="316"/>
        <n v="12"/>
        <n v="212"/>
        <n v="361"/>
        <n v="5"/>
        <n v="67"/>
        <n v="360"/>
        <n v="79"/>
        <n v="46"/>
        <n v="175"/>
        <n v="266"/>
        <n v="32"/>
        <n v="143"/>
        <n v="60"/>
        <n v="307"/>
        <n v="109"/>
        <n v="298"/>
        <n v="423"/>
        <n v="346"/>
        <n v="101"/>
        <n v="229"/>
        <n v="434"/>
        <n v="196"/>
        <n v="181"/>
        <n v="146"/>
        <n v="328"/>
        <n v="257"/>
        <n v="59"/>
        <n v="365"/>
        <n v="411"/>
        <n v="40"/>
        <n v="357"/>
        <n v="170"/>
        <n v="63"/>
        <n v="285"/>
        <n v="447"/>
        <n v="89"/>
        <n v="99"/>
        <n v="16"/>
        <n v="262"/>
        <n v="169"/>
        <n v="66"/>
        <n v="332"/>
        <n v="235"/>
        <n v="348"/>
        <n v="236"/>
        <n v="83"/>
        <n v="26"/>
        <n v="381"/>
        <n v="311"/>
        <n v="303"/>
        <n v="282"/>
        <n v="250"/>
        <n v="91"/>
        <n v="217"/>
        <n v="188"/>
        <n v="130"/>
        <n v="97"/>
        <n v="33"/>
        <n v="256"/>
        <n v="254"/>
        <n v="9"/>
        <n v="62"/>
        <n v="233"/>
        <n v="25"/>
        <n v="11"/>
        <n v="107"/>
        <n v="176"/>
        <n v="354"/>
        <n v="148"/>
        <n v="269"/>
        <n v="138"/>
        <n v="268"/>
        <n v="104"/>
        <n v="134"/>
        <n v="408"/>
        <n v="374"/>
        <n v="74"/>
        <n v="224"/>
        <n v="267"/>
        <n v="145"/>
        <n v="193"/>
        <n v="336"/>
        <n v="427"/>
        <n v="191"/>
        <n v="441"/>
        <n v="448"/>
        <n v="263"/>
        <n v="283"/>
        <n v="304"/>
        <n v="61"/>
        <n v="260"/>
        <n v="55"/>
        <n v="92"/>
        <n v="171"/>
        <n v="406"/>
        <n v="350"/>
        <n v="29"/>
        <n v="433"/>
        <n v="127"/>
        <n v="353"/>
        <n v="22"/>
        <n v="208"/>
        <n v="318"/>
        <n v="65"/>
        <n v="24"/>
        <n v="117"/>
        <n v="190"/>
        <n v="123"/>
        <n v="372"/>
        <n v="156"/>
        <n v="144"/>
        <n v="310"/>
        <n v="215"/>
        <n v="386"/>
        <n v="195"/>
        <n v="281"/>
        <n v="13"/>
        <n v="202"/>
        <n v="18"/>
        <n v="424"/>
        <n v="450"/>
        <n v="7"/>
        <n v="10"/>
        <n v="37"/>
        <n v="440"/>
        <n v="115"/>
        <n v="296"/>
        <n v="8"/>
        <n v="259"/>
        <n v="436"/>
        <n v="95"/>
        <n v="75"/>
        <n v="186"/>
        <n v="98"/>
        <n v="380"/>
        <n v="56"/>
        <n v="211"/>
        <n v="54"/>
        <n v="245"/>
        <n v="264"/>
        <n v="81"/>
        <n v="306"/>
        <n v="168"/>
        <n v="324"/>
        <n v="384"/>
        <n v="368"/>
        <n v="402"/>
        <n v="141"/>
        <n v="341"/>
      </sharedItems>
    </cacheField>
    <cacheField name="Billboard Rankings" numFmtId="0">
      <sharedItems containsSemiMixedTypes="0" containsString="0" containsNumber="1" containsInteger="1" minValue="1" maxValue="496" count="210">
        <n v="192"/>
        <n v="31"/>
        <n v="12"/>
        <n v="109"/>
        <n v="101"/>
        <n v="6"/>
        <n v="283"/>
        <n v="19"/>
        <n v="38"/>
        <n v="15"/>
        <n v="188"/>
        <n v="14"/>
        <n v="442"/>
        <n v="3"/>
        <n v="73"/>
        <n v="102"/>
        <n v="2"/>
        <n v="21"/>
        <n v="65"/>
        <n v="23"/>
        <n v="47"/>
        <n v="456"/>
        <n v="9"/>
        <n v="17"/>
        <n v="276"/>
        <n v="18"/>
        <n v="94"/>
        <n v="10"/>
        <n v="112"/>
        <n v="50"/>
        <n v="313"/>
        <n v="7"/>
        <n v="24"/>
        <n v="322"/>
        <n v="51"/>
        <n v="107"/>
        <n v="46"/>
        <n v="159"/>
        <n v="29"/>
        <n v="8"/>
        <n v="56"/>
        <n v="496"/>
        <n v="383"/>
        <n v="16"/>
        <n v="30"/>
        <n v="119"/>
        <n v="433"/>
        <n v="5"/>
        <n v="41"/>
        <n v="77"/>
        <n v="90"/>
        <n v="125"/>
        <n v="1"/>
        <n v="117"/>
        <n v="449"/>
        <n v="356"/>
        <n v="143"/>
        <n v="4"/>
        <n v="135"/>
        <n v="80"/>
        <n v="286"/>
        <n v="346"/>
        <n v="34"/>
        <n v="11"/>
        <n v="417"/>
        <n v="85"/>
        <n v="115"/>
        <n v="323"/>
        <n v="43"/>
        <n v="148"/>
        <n v="70"/>
        <n v="178"/>
        <n v="97"/>
        <n v="100"/>
        <n v="52"/>
        <n v="48"/>
        <n v="205"/>
        <n v="59"/>
        <n v="353"/>
        <n v="37"/>
        <n v="35"/>
        <n v="92"/>
        <n v="182"/>
        <n v="384"/>
        <n v="76"/>
        <n v="49"/>
        <n v="110"/>
        <n v="123"/>
        <n v="111"/>
        <n v="116"/>
        <n v="288"/>
        <n v="54"/>
        <n v="348"/>
        <n v="91"/>
        <n v="57"/>
        <n v="106"/>
        <n v="193"/>
        <n v="40"/>
        <n v="87"/>
        <n v="317"/>
        <n v="82"/>
        <n v="67"/>
        <n v="45"/>
        <n v="53"/>
        <n v="105"/>
        <n v="55"/>
        <n v="338"/>
        <n v="145"/>
        <n v="395"/>
        <n v="39"/>
        <n v="13"/>
        <n v="32"/>
        <n v="28"/>
        <n v="210"/>
        <n v="454"/>
        <n v="136"/>
        <n v="89"/>
        <n v="167"/>
        <n v="122"/>
        <n v="231"/>
        <n v="74"/>
        <n v="81"/>
        <n v="63"/>
        <n v="79"/>
        <n v="252"/>
        <n v="137"/>
        <n v="250"/>
        <n v="61"/>
        <n v="25"/>
        <n v="134"/>
        <n v="66"/>
        <n v="96"/>
        <n v="341"/>
        <n v="121"/>
        <n v="342"/>
        <n v="33"/>
        <n v="20"/>
        <n v="199"/>
        <n v="22"/>
        <n v="75"/>
        <n v="308"/>
        <n v="152"/>
        <n v="289"/>
        <n v="27"/>
        <n v="26"/>
        <n v="144"/>
        <n v="124"/>
        <n v="207"/>
        <n v="99"/>
        <n v="408"/>
        <n v="44"/>
        <n v="36"/>
        <n v="438"/>
        <n v="196"/>
        <n v="86"/>
        <n v="95"/>
        <n v="284"/>
        <n v="435"/>
        <n v="330"/>
        <n v="62"/>
        <n v="98"/>
        <n v="127"/>
        <n v="169"/>
        <n v="191"/>
        <n v="113"/>
        <n v="216"/>
        <n v="155"/>
        <n v="360"/>
        <n v="495"/>
        <n v="128"/>
        <n v="71"/>
        <n v="206"/>
        <n v="132"/>
        <n v="60"/>
        <n v="244"/>
        <n v="114"/>
        <n v="133"/>
        <n v="405"/>
        <n v="181"/>
        <n v="154"/>
        <n v="118"/>
        <n v="58"/>
        <n v="306"/>
        <n v="266"/>
        <n v="321"/>
        <n v="208"/>
        <n v="314"/>
        <n v="72"/>
        <n v="88"/>
        <n v="64"/>
        <n v="214"/>
        <n v="305"/>
        <n v="69"/>
        <n v="247"/>
        <n v="68"/>
        <n v="129"/>
        <n v="184"/>
        <n v="278"/>
        <n v="315"/>
        <n v="422"/>
        <n v="130"/>
        <n v="355"/>
        <n v="273"/>
        <n v="183"/>
        <n v="235"/>
        <n v="141"/>
        <n v="160"/>
        <n v="103"/>
        <n v="170"/>
        <n v="292"/>
      </sharedItems>
    </cacheField>
    <cacheField name="In Apple Playlists" numFmtId="0">
      <sharedItems containsSemiMixedTypes="0" containsString="0" containsNumber="1" containsInteger="1" minValue="154" maxValue="62025"/>
    </cacheField>
    <cacheField name="On Apple Charts" numFmtId="0">
      <sharedItems containsSemiMixedTypes="0" containsString="0" containsNumber="1" containsInteger="1" minValue="1" maxValue="266" count="137">
        <n v="69"/>
        <n v="31"/>
        <n v="12"/>
        <n v="109"/>
        <n v="101"/>
        <n v="6"/>
        <n v="55"/>
        <n v="19"/>
        <n v="89"/>
        <n v="15"/>
        <n v="188"/>
        <n v="14"/>
        <n v="78"/>
        <n v="3"/>
        <n v="73"/>
        <n v="2"/>
        <n v="50"/>
        <n v="65"/>
        <n v="23"/>
        <n v="47"/>
        <n v="97"/>
        <n v="9"/>
        <n v="17"/>
        <n v="68"/>
        <n v="18"/>
        <n v="94"/>
        <n v="10"/>
        <n v="112"/>
        <n v="84"/>
        <n v="7"/>
        <n v="24"/>
        <n v="79"/>
        <n v="51"/>
        <n v="107"/>
        <n v="159"/>
        <n v="29"/>
        <n v="8"/>
        <n v="56"/>
        <n v="72"/>
        <n v="71"/>
        <n v="90"/>
        <n v="30"/>
        <n v="80"/>
        <n v="59"/>
        <n v="5"/>
        <n v="21"/>
        <n v="92"/>
        <n v="77"/>
        <n v="125"/>
        <n v="1"/>
        <n v="61"/>
        <n v="143"/>
        <n v="4"/>
        <n v="93"/>
        <n v="34"/>
        <n v="135"/>
        <n v="11"/>
        <n v="85"/>
        <n v="115"/>
        <n v="64"/>
        <n v="43"/>
        <n v="148"/>
        <n v="70"/>
        <n v="63"/>
        <n v="100"/>
        <n v="52"/>
        <n v="48"/>
        <n v="54"/>
        <n v="44"/>
        <n v="35"/>
        <n v="88"/>
        <n v="83"/>
        <n v="74"/>
        <n v="67"/>
        <n v="16"/>
        <n v="91"/>
        <n v="110"/>
        <n v="123"/>
        <n v="111"/>
        <n v="57"/>
        <n v="106"/>
        <n v="60"/>
        <n v="86"/>
        <n v="87"/>
        <n v="76"/>
        <n v="82"/>
        <n v="102"/>
        <n v="45"/>
        <n v="105"/>
        <n v="145"/>
        <n v="39"/>
        <n v="98"/>
        <n v="13"/>
        <n v="95"/>
        <n v="136"/>
        <n v="167"/>
        <n v="122"/>
        <n v="40"/>
        <n v="81"/>
        <n v="137"/>
        <n v="25"/>
        <n v="66"/>
        <n v="116"/>
        <n v="96"/>
        <n v="121"/>
        <n v="20"/>
        <n v="49"/>
        <n v="41"/>
        <n v="199"/>
        <n v="22"/>
        <n v="75"/>
        <n v="53"/>
        <n v="27"/>
        <n v="26"/>
        <n v="36"/>
        <n v="207"/>
        <n v="33"/>
        <n v="38"/>
        <n v="37"/>
        <n v="117"/>
        <n v="113"/>
        <n v="58"/>
        <n v="155"/>
        <n v="32"/>
        <n v="132"/>
        <n v="114"/>
        <n v="133"/>
        <n v="181"/>
        <n v="99"/>
        <n v="118"/>
        <n v="28"/>
        <n v="266"/>
        <n v="127"/>
        <n v="129"/>
        <n v="130"/>
        <n v="62"/>
        <n v="160"/>
      </sharedItems>
    </cacheField>
    <cacheField name="In Deezer Playlists" numFmtId="0">
      <sharedItems containsSemiMixedTypes="0" containsString="0" containsNumber="1" containsInteger="1" minValue="1" maxValue="12692"/>
    </cacheField>
    <cacheField name="In Deezer Charts" numFmtId="0">
      <sharedItems containsSemiMixedTypes="0" containsString="0" containsNumber="1" containsInteger="1" minValue="1" maxValue="200"/>
    </cacheField>
    <cacheField name="In YouTube Playlists" numFmtId="0">
      <sharedItems containsSemiMixedTypes="0" containsString="0" containsNumber="1" containsInteger="1" minValue="1045" maxValue="74320"/>
    </cacheField>
    <cacheField name="On Shazam Charts" numFmtId="0">
      <sharedItems containsSemiMixedTypes="0" containsString="0" containsNumber="1" containsInteger="1" minValue="1" maxValue="400"/>
    </cacheField>
    <cacheField name="Total Playlist Reach" numFmtId="3">
      <sharedItems containsSemiMixedTypes="0" containsString="0" containsNumber="1" containsInteger="1" minValue="8872" maxValue="211207"/>
    </cacheField>
    <cacheField name="Bpm" numFmtId="0">
      <sharedItems containsSemiMixedTypes="0" containsString="0" containsNumber="1" containsInteger="1" minValue="43" maxValue="206" count="103">
        <n v="135"/>
        <n v="136"/>
        <n v="107"/>
        <n v="128"/>
        <n v="160"/>
        <n v="63"/>
        <n v="145"/>
        <n v="120"/>
        <n v="148"/>
        <n v="130"/>
        <n v="125"/>
        <n v="139"/>
        <n v="99"/>
        <n v="100"/>
        <n v="134"/>
        <n v="142"/>
        <n v="146"/>
        <n v="90"/>
        <n v="78"/>
        <n v="124"/>
        <n v="190"/>
        <n v="152"/>
        <n v="103"/>
        <n v="140"/>
        <n v="65"/>
        <n v="118"/>
        <n v="121"/>
        <n v="119"/>
        <n v="150"/>
        <n v="108"/>
        <n v="86"/>
        <n v="93"/>
        <n v="113"/>
        <n v="98"/>
        <n v="84"/>
        <n v="126"/>
        <n v="89"/>
        <n v="114"/>
        <n v="102"/>
        <n v="87"/>
        <n v="106"/>
        <n v="110"/>
        <n v="92"/>
        <n v="129"/>
        <n v="164"/>
        <n v="97"/>
        <n v="185"/>
        <n v="122"/>
        <n v="116"/>
        <n v="123"/>
        <n v="104"/>
        <n v="138"/>
        <n v="80"/>
        <n v="127"/>
        <n v="174"/>
        <n v="82"/>
        <n v="95"/>
        <n v="94"/>
        <n v="85"/>
        <n v="115"/>
        <n v="109"/>
        <n v="132"/>
        <n v="79"/>
        <n v="178"/>
        <n v="175"/>
        <n v="180"/>
        <n v="159"/>
        <n v="155"/>
        <n v="156"/>
        <n v="77"/>
        <n v="105"/>
        <n v="206"/>
        <n v="176"/>
        <n v="96"/>
        <n v="111"/>
        <n v="182"/>
        <n v="149"/>
        <n v="158"/>
        <n v="88"/>
        <n v="133"/>
        <n v="181"/>
        <n v="201"/>
        <n v="144"/>
        <n v="131"/>
        <n v="192"/>
        <n v="81"/>
        <n v="170"/>
        <n v="112"/>
        <n v="75"/>
        <n v="163"/>
        <n v="202"/>
        <n v="168"/>
        <n v="167"/>
        <n v="172"/>
        <n v="117"/>
        <n v="91"/>
        <n v="186"/>
        <n v="73"/>
        <n v="101"/>
        <n v="184"/>
        <n v="76"/>
        <n v="83"/>
        <n v="43"/>
      </sharedItems>
    </cacheField>
    <cacheField name="Decibel" numFmtId="0">
      <sharedItems containsSemiMixedTypes="0" containsString="0" containsNumber="1" containsInteger="1" minValue="-15" maxValue="-2"/>
    </cacheField>
    <cacheField name="Mode" numFmtId="0">
      <sharedItems/>
    </cacheField>
    <cacheField name="Energy" numFmtId="0">
      <sharedItems containsSemiMixedTypes="0" containsString="0" containsNumber="1" containsInteger="1" minValue="4" maxValue="98" count="76">
        <n v="71"/>
        <n v="76"/>
        <n v="92"/>
        <n v="61"/>
        <n v="84"/>
        <n v="38"/>
        <n v="80"/>
        <n v="47"/>
        <n v="88"/>
        <n v="62"/>
        <n v="68"/>
        <n v="41"/>
        <n v="66"/>
        <n v="86"/>
        <n v="28"/>
        <n v="26"/>
        <n v="95"/>
        <n v="59"/>
        <n v="75"/>
        <n v="60"/>
        <n v="53"/>
        <n v="83"/>
        <n v="74"/>
        <n v="82"/>
        <n v="78"/>
        <n v="45"/>
        <n v="55"/>
        <n v="87"/>
        <n v="17"/>
        <n v="65"/>
        <n v="52"/>
        <n v="67"/>
        <n v="73"/>
        <n v="72"/>
        <n v="69"/>
        <n v="79"/>
        <n v="81"/>
        <n v="70"/>
        <n v="90"/>
        <n v="58"/>
        <n v="93"/>
        <n v="85"/>
        <n v="54"/>
        <n v="91"/>
        <n v="23"/>
        <n v="34"/>
        <n v="96"/>
        <n v="44"/>
        <n v="94"/>
        <n v="37"/>
        <n v="48"/>
        <n v="27"/>
        <n v="46"/>
        <n v="89"/>
        <n v="56"/>
        <n v="50"/>
        <n v="49"/>
        <n v="64"/>
        <n v="77"/>
        <n v="35"/>
        <n v="63"/>
        <n v="39"/>
        <n v="57"/>
        <n v="32"/>
        <n v="42"/>
        <n v="31"/>
        <n v="14"/>
        <n v="30"/>
        <n v="98"/>
        <n v="15"/>
        <n v="33"/>
        <n v="43"/>
        <n v="4"/>
        <n v="51"/>
        <n v="40"/>
        <n v="36"/>
      </sharedItems>
    </cacheField>
    <cacheField name="Danceability" numFmtId="0">
      <sharedItems containsSemiMixedTypes="0" containsString="0" containsNumber="1" containsInteger="1" minValue="0" maxValue="97" count="70">
        <n v="70"/>
        <n v="75"/>
        <n v="68"/>
        <n v="79"/>
        <n v="80"/>
        <n v="58"/>
        <n v="30"/>
        <n v="82"/>
        <n v="53"/>
        <n v="77"/>
        <n v="43"/>
        <n v="76"/>
        <n v="55"/>
        <n v="42"/>
        <n v="63"/>
        <n v="51"/>
        <n v="81"/>
        <n v="73"/>
        <n v="59"/>
        <n v="66"/>
        <n v="39"/>
        <n v="96"/>
        <n v="74"/>
        <n v="48"/>
        <n v="28"/>
        <n v="72"/>
        <n v="67"/>
        <n v="78"/>
        <n v="69"/>
        <n v="97"/>
        <n v="71"/>
        <n v="60"/>
        <n v="64"/>
        <n v="56"/>
        <n v="65"/>
        <n v="41"/>
        <n v="85"/>
        <n v="93"/>
        <n v="29"/>
        <n v="83"/>
        <n v="45"/>
        <n v="62"/>
        <n v="61"/>
        <n v="33"/>
        <n v="90"/>
        <n v="50"/>
        <n v="47"/>
        <n v="57"/>
        <n v="26"/>
        <n v="91"/>
        <n v="54"/>
        <n v="27"/>
        <n v="31"/>
        <n v="49"/>
        <n v="38"/>
        <n v="52"/>
        <n v="36"/>
        <n v="44"/>
        <n v="84"/>
        <n v="37"/>
        <n v="35"/>
        <n v="92"/>
        <n v="46"/>
        <n v="86"/>
        <n v="0"/>
        <n v="40"/>
        <n v="32"/>
        <n v="88"/>
        <n v="87"/>
        <n v="23"/>
      </sharedItems>
    </cacheField>
    <cacheField name="Liveness" numFmtId="0">
      <sharedItems containsSemiMixedTypes="0" containsString="0" containsNumber="1" containsInteger="1" minValue="2" maxValue="74"/>
    </cacheField>
    <cacheField name="Valence" numFmtId="0">
      <sharedItems containsSemiMixedTypes="0" containsString="0" containsNumber="1" containsInteger="1" minValue="4" maxValue="98" count="93">
        <n v="79"/>
        <n v="56"/>
        <n v="45"/>
        <n v="66"/>
        <n v="40"/>
        <n v="50"/>
        <n v="26"/>
        <n v="63"/>
        <n v="53"/>
        <n v="34"/>
        <n v="25"/>
        <n v="52"/>
        <n v="16"/>
        <n v="20"/>
        <n v="82"/>
        <n v="37"/>
        <n v="44"/>
        <n v="96"/>
        <n v="33"/>
        <n v="65"/>
        <n v="30"/>
        <n v="48"/>
        <n v="13"/>
        <n v="74"/>
        <n v="91"/>
        <n v="38"/>
        <n v="32"/>
        <n v="73"/>
        <n v="11"/>
        <n v="80"/>
        <n v="54"/>
        <n v="61"/>
        <n v="71"/>
        <n v="59"/>
        <n v="14"/>
        <n v="55"/>
        <n v="86"/>
        <n v="69"/>
        <n v="23"/>
        <n v="49"/>
        <n v="84"/>
        <n v="35"/>
        <n v="27"/>
        <n v="81"/>
        <n v="75"/>
        <n v="46"/>
        <n v="58"/>
        <n v="64"/>
        <n v="7"/>
        <n v="76"/>
        <n v="28"/>
        <n v="29"/>
        <n v="83"/>
        <n v="90"/>
        <n v="72"/>
        <n v="57"/>
        <n v="88"/>
        <n v="70"/>
        <n v="93"/>
        <n v="47"/>
        <n v="62"/>
        <n v="18"/>
        <n v="41"/>
        <n v="43"/>
        <n v="60"/>
        <n v="39"/>
        <n v="10"/>
        <n v="78"/>
        <n v="85"/>
        <n v="42"/>
        <n v="95"/>
        <n v="51"/>
        <n v="15"/>
        <n v="4"/>
        <n v="68"/>
        <n v="21"/>
        <n v="9"/>
        <n v="67"/>
        <n v="19"/>
        <n v="8"/>
        <n v="17"/>
        <n v="24"/>
        <n v="87"/>
        <n v="92"/>
        <n v="36"/>
        <n v="98"/>
        <n v="77"/>
        <n v="31"/>
        <n v="89"/>
        <n v="94"/>
        <n v="97"/>
        <n v="22"/>
        <n v="12"/>
      </sharedItems>
    </cacheField>
    <cacheField name="Duration" numFmtId="0">
      <sharedItems containsSemiMixedTypes="0" containsString="0" containsNumber="1" containsInteger="1" minValue="134" maxValue="424"/>
    </cacheField>
    <cacheField name="Track Length(MIN)" numFmtId="1">
      <sharedItems containsSemiMixedTypes="0" containsString="0" containsNumber="1" minValue="2.2333333333333334" maxValue="7.0666666666666664"/>
    </cacheField>
    <cacheField name="Acousticness" numFmtId="0">
      <sharedItems containsSemiMixedTypes="0" containsString="0" containsNumber="1" containsInteger="1" minValue="0" maxValue="99"/>
    </cacheField>
    <cacheField name="Speechiness" numFmtId="0">
      <sharedItems containsSemiMixedTypes="0" containsString="0" containsNumber="1" containsInteger="1" minValue="3" maxValue="48"/>
    </cacheField>
    <cacheField name="Popularity" numFmtId="0">
      <sharedItems containsSemiMixedTypes="0" containsString="0" containsNumber="1" containsInteger="1" minValue="0" maxValue="98"/>
    </cacheField>
  </cacheFields>
  <extLst>
    <ext xmlns:x14="http://schemas.microsoft.com/office/spreadsheetml/2009/9/main" uri="{725AE2AE-9491-48be-B2B4-4EB974FC3084}">
      <x14:pivotCacheDefinition pivotCacheId="4243987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6">
  <r>
    <n v="3"/>
    <x v="0"/>
    <x v="0"/>
    <n v="2010"/>
    <n v="339473453"/>
    <x v="0"/>
    <n v="2612"/>
    <x v="0"/>
    <x v="0"/>
    <n v="32497"/>
    <x v="0"/>
    <n v="7444"/>
    <n v="164"/>
    <n v="5718"/>
    <n v="127"/>
    <n v="48271"/>
    <x v="0"/>
    <n v="-2"/>
    <s v="Major"/>
    <x v="0"/>
    <x v="0"/>
    <n v="14"/>
    <x v="0"/>
    <n v="213"/>
    <n v="3.55"/>
    <n v="5"/>
    <n v="5"/>
    <n v="62"/>
  </r>
  <r>
    <n v="43776"/>
    <x v="1"/>
    <x v="0"/>
    <n v="2015"/>
    <n v="665765558"/>
    <x v="1"/>
    <n v="5415"/>
    <x v="1"/>
    <x v="1"/>
    <n v="29766"/>
    <x v="1"/>
    <n v="1"/>
    <n v="34"/>
    <n v="17576"/>
    <n v="168"/>
    <n v="52758"/>
    <x v="1"/>
    <n v="-5"/>
    <s v="Major"/>
    <x v="0"/>
    <x v="1"/>
    <n v="13"/>
    <x v="1"/>
    <n v="214"/>
    <n v="3.5666666666666669"/>
    <n v="1"/>
    <n v="13"/>
    <n v="72"/>
  </r>
  <r>
    <s v="#Beautiful"/>
    <x v="2"/>
    <x v="0"/>
    <n v="2013"/>
    <n v="245400167"/>
    <x v="2"/>
    <n v="1796"/>
    <x v="2"/>
    <x v="2"/>
    <n v="37077"/>
    <x v="2"/>
    <n v="10"/>
    <n v="33"/>
    <n v="15160"/>
    <n v="319"/>
    <n v="54043"/>
    <x v="2"/>
    <n v="-5"/>
    <s v="Major"/>
    <x v="1"/>
    <x v="2"/>
    <n v="31"/>
    <x v="2"/>
    <n v="200"/>
    <n v="3.3333333333333335"/>
    <n v="29"/>
    <n v="4"/>
    <n v="51"/>
  </r>
  <r>
    <s v="#SELFIE"/>
    <x v="3"/>
    <x v="1"/>
    <n v="2014"/>
    <n v="382199619"/>
    <x v="0"/>
    <n v="2988"/>
    <x v="3"/>
    <x v="3"/>
    <n v="3762"/>
    <x v="3"/>
    <n v="305"/>
    <n v="3"/>
    <n v="38113"/>
    <n v="149"/>
    <n v="45168"/>
    <x v="3"/>
    <n v="-3"/>
    <s v="Major"/>
    <x v="2"/>
    <x v="3"/>
    <n v="8"/>
    <x v="3"/>
    <n v="184"/>
    <n v="3.0666666666666669"/>
    <n v="1"/>
    <n v="25"/>
    <n v="65"/>
  </r>
  <r>
    <s v="#thatPOWER"/>
    <x v="4"/>
    <x v="0"/>
    <n v="2013"/>
    <n v="473248298"/>
    <x v="0"/>
    <n v="3741"/>
    <x v="4"/>
    <x v="4"/>
    <n v="38461"/>
    <x v="4"/>
    <n v="1397"/>
    <n v="4"/>
    <n v="23843"/>
    <n v="320"/>
    <n v="67442"/>
    <x v="3"/>
    <n v="-6"/>
    <s v="Minor"/>
    <x v="3"/>
    <x v="4"/>
    <n v="7"/>
    <x v="4"/>
    <n v="280"/>
    <n v="4.666666666666667"/>
    <n v="0"/>
    <n v="6"/>
    <n v="68"/>
  </r>
  <r>
    <s v="...Ready For It? - BloodPop® Remix"/>
    <x v="5"/>
    <x v="2"/>
    <n v="2018"/>
    <n v="246127838"/>
    <x v="2"/>
    <n v="1800"/>
    <x v="5"/>
    <x v="5"/>
    <n v="5969"/>
    <x v="5"/>
    <n v="19"/>
    <n v="46"/>
    <n v="28523"/>
    <n v="292"/>
    <n v="36311"/>
    <x v="4"/>
    <n v="-5"/>
    <s v="Major"/>
    <x v="4"/>
    <x v="5"/>
    <n v="10"/>
    <x v="5"/>
    <n v="190"/>
    <n v="3.1666666666666665"/>
    <n v="13"/>
    <n v="22"/>
    <n v="85"/>
  </r>
  <r>
    <s v="1+1"/>
    <x v="1"/>
    <x v="0"/>
    <n v="2011"/>
    <n v="311482393"/>
    <x v="0"/>
    <n v="2442"/>
    <x v="6"/>
    <x v="6"/>
    <n v="2868"/>
    <x v="6"/>
    <n v="5758"/>
    <n v="191"/>
    <n v="11754"/>
    <n v="339"/>
    <n v="22822"/>
    <x v="5"/>
    <n v="-7"/>
    <s v="Minor"/>
    <x v="5"/>
    <x v="6"/>
    <n v="7"/>
    <x v="6"/>
    <n v="274"/>
    <n v="4.5666666666666664"/>
    <n v="38"/>
    <n v="3"/>
    <n v="60"/>
  </r>
  <r>
    <s v="24K Magic"/>
    <x v="6"/>
    <x v="2"/>
    <n v="2017"/>
    <n v="496311364"/>
    <x v="0"/>
    <n v="3983"/>
    <x v="7"/>
    <x v="2"/>
    <n v="31539"/>
    <x v="2"/>
    <n v="51"/>
    <n v="1"/>
    <n v="8566"/>
    <n v="58"/>
    <n v="44139"/>
    <x v="2"/>
    <n v="-4"/>
    <s v="Major"/>
    <x v="6"/>
    <x v="7"/>
    <n v="15"/>
    <x v="7"/>
    <n v="226"/>
    <n v="3.7666666666666666"/>
    <n v="3"/>
    <n v="8"/>
    <n v="85"/>
  </r>
  <r>
    <s v="2U (feat. Justin Bieber)"/>
    <x v="7"/>
    <x v="0"/>
    <n v="2018"/>
    <n v="367814306"/>
    <x v="0"/>
    <n v="2915"/>
    <x v="8"/>
    <x v="7"/>
    <n v="34663"/>
    <x v="7"/>
    <n v="318"/>
    <n v="29"/>
    <n v="18886"/>
    <n v="200"/>
    <n v="56782"/>
    <x v="6"/>
    <n v="-7"/>
    <s v="Minor"/>
    <x v="3"/>
    <x v="8"/>
    <n v="23"/>
    <x v="8"/>
    <n v="195"/>
    <n v="3.25"/>
    <n v="23"/>
    <n v="6"/>
    <n v="65"/>
  </r>
  <r>
    <s v="7 Years"/>
    <x v="8"/>
    <x v="3"/>
    <n v="2016"/>
    <n v="1440757818"/>
    <x v="3"/>
    <n v="15894"/>
    <x v="9"/>
    <x v="8"/>
    <n v="19993"/>
    <x v="8"/>
    <n v="2094"/>
    <n v="13"/>
    <n v="17362"/>
    <n v="245"/>
    <n v="55343"/>
    <x v="7"/>
    <n v="-6"/>
    <s v="Minor"/>
    <x v="7"/>
    <x v="9"/>
    <n v="39"/>
    <x v="9"/>
    <n v="237"/>
    <n v="3.95"/>
    <n v="29"/>
    <n v="5"/>
    <n v="80"/>
  </r>
  <r>
    <s v="A L I E N S"/>
    <x v="9"/>
    <x v="4"/>
    <n v="2017"/>
    <n v="221752937"/>
    <x v="2"/>
    <n v="1529"/>
    <x v="10"/>
    <x v="9"/>
    <n v="10611"/>
    <x v="9"/>
    <n v="116"/>
    <n v="24"/>
    <n v="16467"/>
    <n v="134"/>
    <n v="28723"/>
    <x v="8"/>
    <n v="-5"/>
    <s v="Minor"/>
    <x v="8"/>
    <x v="10"/>
    <n v="21"/>
    <x v="10"/>
    <n v="282"/>
    <n v="4.7"/>
    <n v="0"/>
    <n v="4"/>
    <n v="41"/>
  </r>
  <r>
    <s v="A Little Party Never Killed Nobody (All We Got)"/>
    <x v="10"/>
    <x v="0"/>
    <n v="2014"/>
    <n v="383550148"/>
    <x v="0"/>
    <n v="2995"/>
    <x v="11"/>
    <x v="10"/>
    <n v="12055"/>
    <x v="10"/>
    <n v="20"/>
    <n v="28"/>
    <n v="38655"/>
    <n v="306"/>
    <n v="53725"/>
    <x v="9"/>
    <n v="-6"/>
    <s v="Major"/>
    <x v="9"/>
    <x v="11"/>
    <n v="9"/>
    <x v="11"/>
    <n v="241"/>
    <n v="4.0166666666666666"/>
    <n v="1"/>
    <n v="18"/>
    <n v="65"/>
  </r>
  <r>
    <s v="A Sky Full of Stars"/>
    <x v="9"/>
    <x v="4"/>
    <n v="2014"/>
    <n v="307370144"/>
    <x v="0"/>
    <n v="2402"/>
    <x v="12"/>
    <x v="11"/>
    <n v="26502"/>
    <x v="11"/>
    <n v="24"/>
    <n v="21"/>
    <n v="7486"/>
    <n v="397"/>
    <n v="36414"/>
    <x v="10"/>
    <n v="-6"/>
    <s v="Minor"/>
    <x v="10"/>
    <x v="12"/>
    <n v="21"/>
    <x v="12"/>
    <n v="268"/>
    <n v="4.4666666666666668"/>
    <n v="1"/>
    <n v="3"/>
    <n v="60"/>
  </r>
  <r>
    <s v="A Thousand Years"/>
    <x v="11"/>
    <x v="0"/>
    <n v="2011"/>
    <n v="1690192927"/>
    <x v="3"/>
    <n v="21097"/>
    <x v="13"/>
    <x v="12"/>
    <n v="20617"/>
    <x v="12"/>
    <n v="3064"/>
    <n v="109"/>
    <n v="14577"/>
    <n v="21"/>
    <n v="59355"/>
    <x v="11"/>
    <n v="-7"/>
    <s v="Minor"/>
    <x v="11"/>
    <x v="13"/>
    <n v="11"/>
    <x v="12"/>
    <n v="285"/>
    <n v="4.75"/>
    <n v="31"/>
    <n v="3"/>
    <n v="81"/>
  </r>
  <r>
    <s v="Adore You"/>
    <x v="12"/>
    <x v="0"/>
    <n v="2014"/>
    <n v="672656250"/>
    <x v="1"/>
    <n v="5481"/>
    <x v="14"/>
    <x v="13"/>
    <n v="18752"/>
    <x v="13"/>
    <n v="89"/>
    <n v="49"/>
    <n v="9604"/>
    <n v="80"/>
    <n v="33926"/>
    <x v="7"/>
    <n v="-5"/>
    <s v="Major"/>
    <x v="12"/>
    <x v="5"/>
    <n v="11"/>
    <x v="13"/>
    <n v="279"/>
    <n v="4.6500000000000004"/>
    <n v="11"/>
    <n v="3"/>
    <n v="72"/>
  </r>
  <r>
    <s v="Ain't Your Mama"/>
    <x v="13"/>
    <x v="0"/>
    <n v="2016"/>
    <n v="652704649"/>
    <x v="1"/>
    <n v="5328"/>
    <x v="15"/>
    <x v="14"/>
    <n v="17392"/>
    <x v="14"/>
    <n v="633"/>
    <n v="3"/>
    <n v="10883"/>
    <n v="124"/>
    <n v="34236"/>
    <x v="7"/>
    <n v="-6"/>
    <s v="Minor"/>
    <x v="10"/>
    <x v="11"/>
    <n v="7"/>
    <x v="14"/>
    <n v="218"/>
    <n v="3.6333333333333333"/>
    <n v="5"/>
    <n v="23"/>
    <n v="72"/>
  </r>
  <r>
    <s v="Alejandro"/>
    <x v="14"/>
    <x v="0"/>
    <n v="2010"/>
    <n v="528544703"/>
    <x v="1"/>
    <n v="4277"/>
    <x v="16"/>
    <x v="15"/>
    <n v="26608"/>
    <x v="14"/>
    <n v="2891"/>
    <n v="148"/>
    <n v="28066"/>
    <n v="121"/>
    <n v="61842"/>
    <x v="12"/>
    <n v="-7"/>
    <s v="Major"/>
    <x v="6"/>
    <x v="14"/>
    <n v="36"/>
    <x v="15"/>
    <n v="274"/>
    <n v="4.5666666666666664"/>
    <n v="0"/>
    <n v="5"/>
    <n v="69"/>
  </r>
  <r>
    <s v="Alive"/>
    <x v="15"/>
    <x v="5"/>
    <n v="2015"/>
    <n v="313113297"/>
    <x v="0"/>
    <n v="2460"/>
    <x v="17"/>
    <x v="16"/>
    <n v="5862"/>
    <x v="15"/>
    <n v="15"/>
    <n v="1"/>
    <n v="36099"/>
    <n v="118"/>
    <n v="44436"/>
    <x v="13"/>
    <n v="-4"/>
    <s v="Major"/>
    <x v="1"/>
    <x v="15"/>
    <n v="11"/>
    <x v="16"/>
    <n v="264"/>
    <n v="4.4000000000000004"/>
    <n v="25"/>
    <n v="5"/>
    <n v="61"/>
  </r>
  <r>
    <s v="All About That Bass"/>
    <x v="16"/>
    <x v="0"/>
    <n v="2015"/>
    <n v="376333030"/>
    <x v="0"/>
    <n v="2954"/>
    <x v="18"/>
    <x v="17"/>
    <n v="39836"/>
    <x v="16"/>
    <n v="885"/>
    <n v="34"/>
    <n v="33303"/>
    <n v="378"/>
    <n v="76978"/>
    <x v="14"/>
    <n v="-4"/>
    <s v="Major"/>
    <x v="8"/>
    <x v="16"/>
    <n v="11"/>
    <x v="17"/>
    <n v="189"/>
    <n v="3.15"/>
    <n v="5"/>
    <n v="5"/>
    <n v="65"/>
  </r>
  <r>
    <s v="All Around The World (La La La)"/>
    <x v="17"/>
    <x v="6"/>
    <n v="2019"/>
    <n v="1692897992"/>
    <x v="3"/>
    <n v="21106"/>
    <x v="13"/>
    <x v="18"/>
    <n v="6651"/>
    <x v="17"/>
    <n v="497"/>
    <n v="40"/>
    <n v="31812"/>
    <n v="123"/>
    <n v="60066"/>
    <x v="10"/>
    <n v="-5"/>
    <s v="Minor"/>
    <x v="13"/>
    <x v="17"/>
    <n v="11"/>
    <x v="11"/>
    <n v="148"/>
    <n v="2.4666666666666668"/>
    <n v="48"/>
    <n v="3"/>
    <n v="82"/>
  </r>
  <r>
    <s v="All I Ask"/>
    <x v="18"/>
    <x v="7"/>
    <n v="2016"/>
    <n v="594482982"/>
    <x v="1"/>
    <n v="4796"/>
    <x v="19"/>
    <x v="19"/>
    <n v="9565"/>
    <x v="18"/>
    <n v="118"/>
    <n v="23"/>
    <n v="9558"/>
    <n v="305"/>
    <n v="24037"/>
    <x v="15"/>
    <n v="-5"/>
    <s v="Major"/>
    <x v="14"/>
    <x v="18"/>
    <n v="15"/>
    <x v="9"/>
    <n v="272"/>
    <n v="4.5333333333333332"/>
    <n v="88"/>
    <n v="3"/>
    <n v="71"/>
  </r>
  <r>
    <s v="All of Me"/>
    <x v="19"/>
    <x v="8"/>
    <n v="2014"/>
    <n v="2420461338"/>
    <x v="3"/>
    <n v="33966"/>
    <x v="20"/>
    <x v="20"/>
    <n v="20720"/>
    <x v="19"/>
    <n v="74"/>
    <n v="30"/>
    <n v="29211"/>
    <n v="387"/>
    <n v="83971"/>
    <x v="7"/>
    <n v="-7"/>
    <s v="Minor"/>
    <x v="15"/>
    <x v="13"/>
    <n v="13"/>
    <x v="18"/>
    <n v="270"/>
    <n v="4.5"/>
    <n v="92"/>
    <n v="3"/>
    <n v="86"/>
  </r>
  <r>
    <s v="All The Right Moves"/>
    <x v="20"/>
    <x v="0"/>
    <n v="2010"/>
    <n v="395591396"/>
    <x v="0"/>
    <n v="3047"/>
    <x v="21"/>
    <x v="21"/>
    <n v="39151"/>
    <x v="20"/>
    <n v="8347"/>
    <n v="132"/>
    <n v="19653"/>
    <n v="179"/>
    <n v="70198"/>
    <x v="16"/>
    <n v="-4"/>
    <s v="Major"/>
    <x v="16"/>
    <x v="8"/>
    <n v="28"/>
    <x v="19"/>
    <n v="238"/>
    <n v="3.9666666666666668"/>
    <n v="26"/>
    <n v="5"/>
    <n v="65"/>
  </r>
  <r>
    <s v="All We Know"/>
    <x v="3"/>
    <x v="1"/>
    <n v="2016"/>
    <n v="635412045"/>
    <x v="1"/>
    <n v="5263"/>
    <x v="22"/>
    <x v="22"/>
    <n v="6196"/>
    <x v="21"/>
    <n v="46"/>
    <n v="44"/>
    <n v="29757"/>
    <n v="251"/>
    <n v="41262"/>
    <x v="17"/>
    <n v="-9"/>
    <s v="Minor"/>
    <x v="17"/>
    <x v="19"/>
    <n v="12"/>
    <x v="20"/>
    <n v="194"/>
    <n v="3.2333333333333334"/>
    <n v="10"/>
    <n v="3"/>
    <n v="72"/>
  </r>
  <r>
    <s v="American Oxygen"/>
    <x v="21"/>
    <x v="9"/>
    <n v="2015"/>
    <n v="319546754"/>
    <x v="0"/>
    <n v="2482"/>
    <x v="23"/>
    <x v="11"/>
    <n v="38523"/>
    <x v="11"/>
    <n v="19"/>
    <n v="24"/>
    <n v="33308"/>
    <n v="369"/>
    <n v="74332"/>
    <x v="18"/>
    <n v="-6"/>
    <s v="Major"/>
    <x v="18"/>
    <x v="20"/>
    <n v="33"/>
    <x v="21"/>
    <n v="320"/>
    <n v="5.333333333333333"/>
    <n v="5"/>
    <n v="9"/>
    <n v="61"/>
  </r>
  <r>
    <s v="Anaconda"/>
    <x v="22"/>
    <x v="0"/>
    <n v="2014"/>
    <n v="244741137"/>
    <x v="2"/>
    <n v="1769"/>
    <x v="24"/>
    <x v="13"/>
    <n v="30483"/>
    <x v="13"/>
    <n v="27"/>
    <n v="13"/>
    <n v="35941"/>
    <n v="325"/>
    <n v="68220"/>
    <x v="9"/>
    <n v="-6"/>
    <s v="Minor"/>
    <x v="19"/>
    <x v="21"/>
    <n v="21"/>
    <x v="19"/>
    <n v="260"/>
    <n v="4.333333333333333"/>
    <n v="7"/>
    <n v="18"/>
    <n v="50"/>
  </r>
  <r>
    <s v="Angel"/>
    <x v="23"/>
    <x v="0"/>
    <n v="2017"/>
    <n v="300983101"/>
    <x v="0"/>
    <n v="2302"/>
    <x v="25"/>
    <x v="23"/>
    <n v="24219"/>
    <x v="22"/>
    <n v="30"/>
    <n v="45"/>
    <n v="39025"/>
    <n v="352"/>
    <n v="65576"/>
    <x v="19"/>
    <n v="-6"/>
    <s v="Major"/>
    <x v="20"/>
    <x v="22"/>
    <n v="35"/>
    <x v="22"/>
    <n v="189"/>
    <n v="3.15"/>
    <n v="0"/>
    <n v="4"/>
    <n v="59"/>
  </r>
  <r>
    <s v="Animal"/>
    <x v="24"/>
    <x v="10"/>
    <n v="2010"/>
    <n v="394030335"/>
    <x v="0"/>
    <n v="3045"/>
    <x v="26"/>
    <x v="24"/>
    <n v="35889"/>
    <x v="23"/>
    <n v="1917"/>
    <n v="63"/>
    <n v="7729"/>
    <n v="113"/>
    <n v="48580"/>
    <x v="8"/>
    <n v="-6"/>
    <s v="Minor"/>
    <x v="21"/>
    <x v="23"/>
    <n v="38"/>
    <x v="23"/>
    <n v="212"/>
    <n v="3.5333333333333332"/>
    <n v="0"/>
    <n v="4"/>
    <n v="65"/>
  </r>
  <r>
    <s v="Animals"/>
    <x v="25"/>
    <x v="2"/>
    <n v="2015"/>
    <n v="956865266"/>
    <x v="1"/>
    <n v="8559"/>
    <x v="27"/>
    <x v="25"/>
    <n v="7768"/>
    <x v="24"/>
    <n v="39"/>
    <n v="2"/>
    <n v="2878"/>
    <n v="38"/>
    <n v="19244"/>
    <x v="20"/>
    <n v="-6"/>
    <s v="Minor"/>
    <x v="22"/>
    <x v="24"/>
    <n v="59"/>
    <x v="18"/>
    <n v="231"/>
    <n v="3.85"/>
    <n v="0"/>
    <n v="9"/>
    <n v="85"/>
  </r>
  <r>
    <s v="Antisocial (with Travis Scott)"/>
    <x v="26"/>
    <x v="2"/>
    <n v="2019"/>
    <n v="1145727611"/>
    <x v="3"/>
    <n v="10565"/>
    <x v="28"/>
    <x v="26"/>
    <n v="13115"/>
    <x v="25"/>
    <n v="1992"/>
    <n v="22"/>
    <n v="29521"/>
    <n v="67"/>
    <n v="55193"/>
    <x v="21"/>
    <n v="-5"/>
    <s v="Major"/>
    <x v="23"/>
    <x v="25"/>
    <n v="36"/>
    <x v="24"/>
    <n v="162"/>
    <n v="2.7"/>
    <n v="13"/>
    <n v="5"/>
    <n v="78"/>
  </r>
  <r>
    <s v="Anything Could Happen"/>
    <x v="27"/>
    <x v="0"/>
    <n v="2013"/>
    <n v="253650850"/>
    <x v="0"/>
    <n v="1890"/>
    <x v="29"/>
    <x v="9"/>
    <n v="5805"/>
    <x v="9"/>
    <n v="6"/>
    <n v="38"/>
    <n v="20821"/>
    <n v="271"/>
    <n v="28522"/>
    <x v="22"/>
    <n v="-4"/>
    <s v="Minor"/>
    <x v="24"/>
    <x v="0"/>
    <n v="14"/>
    <x v="25"/>
    <n v="286"/>
    <n v="4.7666666666666666"/>
    <n v="43"/>
    <n v="3"/>
    <n v="52"/>
  </r>
  <r>
    <s v="Anywhere"/>
    <x v="28"/>
    <x v="0"/>
    <n v="2018"/>
    <n v="789753877"/>
    <x v="1"/>
    <n v="6858"/>
    <x v="30"/>
    <x v="5"/>
    <n v="20971"/>
    <x v="5"/>
    <n v="105"/>
    <n v="1"/>
    <n v="39466"/>
    <n v="72"/>
    <n v="67400"/>
    <x v="2"/>
    <n v="-4"/>
    <s v="Major"/>
    <x v="6"/>
    <x v="14"/>
    <n v="10"/>
    <x v="26"/>
    <n v="215"/>
    <n v="3.5833333333333335"/>
    <n v="4"/>
    <n v="6"/>
    <n v="74"/>
  </r>
  <r>
    <s v="Applause"/>
    <x v="14"/>
    <x v="0"/>
    <n v="2013"/>
    <n v="254218729"/>
    <x v="0"/>
    <n v="1900"/>
    <x v="31"/>
    <x v="27"/>
    <n v="21149"/>
    <x v="26"/>
    <n v="8062"/>
    <n v="22"/>
    <n v="26064"/>
    <n v="397"/>
    <n v="57175"/>
    <x v="23"/>
    <n v="-4"/>
    <s v="Minor"/>
    <x v="24"/>
    <x v="26"/>
    <n v="11"/>
    <x v="27"/>
    <n v="212"/>
    <n v="3.5333333333333332"/>
    <n v="3"/>
    <n v="5"/>
    <n v="52"/>
  </r>
  <r>
    <s v="Atlas - From The Hunger Games: Catching Fire Soundtrack"/>
    <x v="9"/>
    <x v="4"/>
    <n v="2013"/>
    <n v="272377463"/>
    <x v="0"/>
    <n v="2005"/>
    <x v="32"/>
    <x v="28"/>
    <n v="26195"/>
    <x v="27"/>
    <n v="2163"/>
    <n v="5"/>
    <n v="25535"/>
    <n v="185"/>
    <n v="55898"/>
    <x v="1"/>
    <n v="-8"/>
    <s v="Major"/>
    <x v="25"/>
    <x v="24"/>
    <n v="11"/>
    <x v="28"/>
    <n v="236"/>
    <n v="3.9333333333333331"/>
    <n v="63"/>
    <n v="3"/>
    <n v="55"/>
  </r>
  <r>
    <s v="Attention"/>
    <x v="29"/>
    <x v="0"/>
    <n v="2018"/>
    <n v="1791000570"/>
    <x v="3"/>
    <n v="22730"/>
    <x v="33"/>
    <x v="29"/>
    <n v="39585"/>
    <x v="16"/>
    <n v="463"/>
    <n v="4"/>
    <n v="8424"/>
    <n v="396"/>
    <n v="71202"/>
    <x v="13"/>
    <n v="-5"/>
    <s v="Major"/>
    <x v="3"/>
    <x v="27"/>
    <n v="13"/>
    <x v="29"/>
    <n v="209"/>
    <n v="3.4833333333333334"/>
    <n v="11"/>
    <n v="5"/>
    <n v="83"/>
  </r>
  <r>
    <s v="Baby"/>
    <x v="30"/>
    <x v="11"/>
    <n v="2010"/>
    <n v="1143647827"/>
    <x v="3"/>
    <n v="10431"/>
    <x v="34"/>
    <x v="30"/>
    <n v="17210"/>
    <x v="28"/>
    <n v="9618"/>
    <n v="117"/>
    <n v="10525"/>
    <n v="145"/>
    <n v="47784"/>
    <x v="24"/>
    <n v="-5"/>
    <s v="Major"/>
    <x v="13"/>
    <x v="17"/>
    <n v="11"/>
    <x v="30"/>
    <n v="214"/>
    <n v="3.5666666666666669"/>
    <n v="4"/>
    <n v="14"/>
    <n v="77"/>
  </r>
  <r>
    <s v="Baby Don't Lie"/>
    <x v="31"/>
    <x v="0"/>
    <n v="2015"/>
    <n v="247689123"/>
    <x v="2"/>
    <n v="1838"/>
    <x v="35"/>
    <x v="31"/>
    <n v="34437"/>
    <x v="29"/>
    <n v="14"/>
    <n v="7"/>
    <n v="11802"/>
    <n v="240"/>
    <n v="48091"/>
    <x v="13"/>
    <n v="-5"/>
    <s v="Major"/>
    <x v="26"/>
    <x v="28"/>
    <n v="10"/>
    <x v="6"/>
    <n v="203"/>
    <n v="3.3833333333333333"/>
    <n v="1"/>
    <n v="3"/>
    <n v="52"/>
  </r>
  <r>
    <s v="Bad At Love"/>
    <x v="32"/>
    <x v="0"/>
    <n v="2018"/>
    <n v="1163093654"/>
    <x v="3"/>
    <n v="10624"/>
    <x v="36"/>
    <x v="32"/>
    <n v="8529"/>
    <x v="30"/>
    <n v="254"/>
    <n v="29"/>
    <n v="5475"/>
    <n v="10"/>
    <n v="24882"/>
    <x v="25"/>
    <n v="-4"/>
    <s v="Minor"/>
    <x v="18"/>
    <x v="2"/>
    <n v="9"/>
    <x v="31"/>
    <n v="181"/>
    <n v="3.0166666666666666"/>
    <n v="6"/>
    <n v="3"/>
    <n v="78"/>
  </r>
  <r>
    <s v="Bad Liar"/>
    <x v="33"/>
    <x v="0"/>
    <n v="2018"/>
    <n v="826623384"/>
    <x v="1"/>
    <n v="7495"/>
    <x v="37"/>
    <x v="14"/>
    <n v="29371"/>
    <x v="14"/>
    <n v="344"/>
    <n v="33"/>
    <n v="21089"/>
    <n v="364"/>
    <n v="58299"/>
    <x v="26"/>
    <n v="-6"/>
    <s v="Minor"/>
    <x v="11"/>
    <x v="29"/>
    <n v="8"/>
    <x v="27"/>
    <n v="215"/>
    <n v="3.5833333333333335"/>
    <n v="19"/>
    <n v="7"/>
    <n v="75"/>
  </r>
  <r>
    <s v="Bad Romance"/>
    <x v="14"/>
    <x v="0"/>
    <n v="2010"/>
    <n v="1406111294"/>
    <x v="3"/>
    <n v="15032"/>
    <x v="38"/>
    <x v="33"/>
    <n v="5303"/>
    <x v="31"/>
    <n v="4026"/>
    <n v="120"/>
    <n v="28604"/>
    <n v="387"/>
    <n v="52965"/>
    <x v="27"/>
    <n v="-4"/>
    <s v="Major"/>
    <x v="2"/>
    <x v="0"/>
    <n v="8"/>
    <x v="32"/>
    <n v="295"/>
    <n v="4.916666666666667"/>
    <n v="0"/>
    <n v="4"/>
    <n v="79"/>
  </r>
  <r>
    <s v="Bang Bang"/>
    <x v="34"/>
    <x v="12"/>
    <n v="2015"/>
    <n v="317726339"/>
    <x v="0"/>
    <n v="2468"/>
    <x v="39"/>
    <x v="34"/>
    <n v="24307"/>
    <x v="32"/>
    <n v="12"/>
    <n v="47"/>
    <n v="22502"/>
    <n v="249"/>
    <n v="49289"/>
    <x v="28"/>
    <n v="-4"/>
    <s v="Minor"/>
    <x v="18"/>
    <x v="30"/>
    <n v="38"/>
    <x v="27"/>
    <n v="199"/>
    <n v="3.3166666666666669"/>
    <n v="27"/>
    <n v="9"/>
    <n v="61"/>
  </r>
  <r>
    <s v="Bang My Head (feat. Sia &amp; Fetty Wap)"/>
    <x v="7"/>
    <x v="0"/>
    <n v="2015"/>
    <n v="263779030"/>
    <x v="0"/>
    <n v="1959"/>
    <x v="40"/>
    <x v="35"/>
    <n v="24596"/>
    <x v="33"/>
    <n v="3631"/>
    <n v="33"/>
    <n v="7678"/>
    <n v="140"/>
    <n v="37864"/>
    <x v="29"/>
    <n v="-4"/>
    <s v="Major"/>
    <x v="27"/>
    <x v="31"/>
    <n v="10"/>
    <x v="33"/>
    <n v="193"/>
    <n v="3.2166666666666668"/>
    <n v="5"/>
    <n v="8"/>
    <n v="54"/>
  </r>
  <r>
    <s v="Beautiful Birds (feat. Birdy)"/>
    <x v="35"/>
    <x v="13"/>
    <n v="2016"/>
    <n v="211372494"/>
    <x v="2"/>
    <n v="1480"/>
    <x v="41"/>
    <x v="36"/>
    <n v="7849"/>
    <x v="24"/>
    <n v="7"/>
    <n v="46"/>
    <n v="36020"/>
    <n v="378"/>
    <n v="45356"/>
    <x v="30"/>
    <n v="-13"/>
    <s v="Major"/>
    <x v="28"/>
    <x v="20"/>
    <n v="11"/>
    <x v="34"/>
    <n v="214"/>
    <n v="3.5666666666666669"/>
    <n v="91"/>
    <n v="3"/>
    <n v="36"/>
  </r>
  <r>
    <s v="Beautiful People (feat. Khalid)"/>
    <x v="26"/>
    <x v="2"/>
    <n v="2019"/>
    <n v="2303033973"/>
    <x v="3"/>
    <n v="33206"/>
    <x v="42"/>
    <x v="37"/>
    <n v="36977"/>
    <x v="34"/>
    <n v="2179"/>
    <n v="36"/>
    <n v="18353"/>
    <n v="282"/>
    <n v="90715"/>
    <x v="31"/>
    <n v="-8"/>
    <s v="Major"/>
    <x v="29"/>
    <x v="32"/>
    <n v="8"/>
    <x v="35"/>
    <n v="198"/>
    <n v="3.3"/>
    <n v="12"/>
    <n v="19"/>
    <n v="86"/>
  </r>
  <r>
    <s v="Beauty And A Beat"/>
    <x v="30"/>
    <x v="11"/>
    <n v="2012"/>
    <n v="681583126"/>
    <x v="1"/>
    <n v="5730"/>
    <x v="43"/>
    <x v="31"/>
    <n v="21448"/>
    <x v="32"/>
    <n v="6854"/>
    <n v="192"/>
    <n v="25528"/>
    <n v="116"/>
    <n v="59560"/>
    <x v="3"/>
    <n v="-5"/>
    <s v="Major"/>
    <x v="4"/>
    <x v="31"/>
    <n v="7"/>
    <x v="8"/>
    <n v="228"/>
    <n v="3.8"/>
    <n v="0"/>
    <n v="6"/>
    <n v="72"/>
  </r>
  <r>
    <s v="Been You"/>
    <x v="30"/>
    <x v="11"/>
    <n v="2015"/>
    <n v="305650299"/>
    <x v="0"/>
    <n v="2350"/>
    <x v="44"/>
    <x v="38"/>
    <n v="11599"/>
    <x v="35"/>
    <n v="3"/>
    <n v="32"/>
    <n v="15913"/>
    <n v="165"/>
    <n v="29865"/>
    <x v="32"/>
    <n v="-6"/>
    <s v="Minor"/>
    <x v="24"/>
    <x v="22"/>
    <n v="32"/>
    <x v="36"/>
    <n v="199"/>
    <n v="3.3166666666666669"/>
    <n v="2"/>
    <n v="7"/>
    <n v="60"/>
  </r>
  <r>
    <s v="Behind Your Back"/>
    <x v="36"/>
    <x v="14"/>
    <n v="2016"/>
    <n v="200647221"/>
    <x v="2"/>
    <n v="1379"/>
    <x v="45"/>
    <x v="39"/>
    <n v="25479"/>
    <x v="36"/>
    <n v="104"/>
    <n v="32"/>
    <n v="16798"/>
    <n v="58"/>
    <n v="43760"/>
    <x v="33"/>
    <n v="-10"/>
    <s v="Major"/>
    <x v="7"/>
    <x v="4"/>
    <n v="7"/>
    <x v="37"/>
    <n v="228"/>
    <n v="3.8"/>
    <n v="25"/>
    <n v="4"/>
    <n v="18"/>
  </r>
  <r>
    <s v="Beneath Your Beautiful"/>
    <x v="37"/>
    <x v="2"/>
    <n v="2013"/>
    <n v="566954746"/>
    <x v="1"/>
    <n v="4576"/>
    <x v="46"/>
    <x v="40"/>
    <n v="29419"/>
    <x v="37"/>
    <n v="17"/>
    <n v="39"/>
    <n v="18929"/>
    <n v="238"/>
    <n v="52941"/>
    <x v="34"/>
    <n v="-6"/>
    <s v="Minor"/>
    <x v="30"/>
    <x v="33"/>
    <n v="10"/>
    <x v="38"/>
    <n v="272"/>
    <n v="4.5333333333333332"/>
    <n v="23"/>
    <n v="4"/>
    <n v="70"/>
  </r>
  <r>
    <s v="Best Song Ever"/>
    <x v="38"/>
    <x v="15"/>
    <n v="2013"/>
    <n v="725980112"/>
    <x v="1"/>
    <n v="6392"/>
    <x v="47"/>
    <x v="25"/>
    <n v="7159"/>
    <x v="24"/>
    <n v="6"/>
    <n v="44"/>
    <n v="22204"/>
    <n v="259"/>
    <n v="35761"/>
    <x v="25"/>
    <n v="-3"/>
    <s v="Minor"/>
    <x v="8"/>
    <x v="34"/>
    <n v="8"/>
    <x v="39"/>
    <n v="200"/>
    <n v="3.3333333333333335"/>
    <n v="2"/>
    <n v="5"/>
    <n v="73"/>
  </r>
  <r>
    <s v="Best Thing I Never Had"/>
    <x v="1"/>
    <x v="0"/>
    <n v="2011"/>
    <n v="743693613"/>
    <x v="1"/>
    <n v="6556"/>
    <x v="48"/>
    <x v="41"/>
    <n v="10913"/>
    <x v="12"/>
    <n v="1161"/>
    <n v="173"/>
    <n v="9990"/>
    <n v="202"/>
    <n v="28620"/>
    <x v="12"/>
    <n v="-4"/>
    <s v="Major"/>
    <x v="29"/>
    <x v="12"/>
    <n v="9"/>
    <x v="20"/>
    <n v="254"/>
    <n v="4.2333333333333334"/>
    <n v="14"/>
    <n v="3"/>
    <n v="73"/>
  </r>
  <r>
    <s v="Birthday"/>
    <x v="39"/>
    <x v="0"/>
    <n v="2014"/>
    <n v="380726517"/>
    <x v="0"/>
    <n v="2979"/>
    <x v="49"/>
    <x v="25"/>
    <n v="23929"/>
    <x v="38"/>
    <n v="49"/>
    <n v="9"/>
    <n v="4930"/>
    <n v="379"/>
    <n v="31887"/>
    <x v="35"/>
    <n v="-5"/>
    <s v="Minor"/>
    <x v="31"/>
    <x v="25"/>
    <n v="11"/>
    <x v="40"/>
    <n v="215"/>
    <n v="3.5833333333333335"/>
    <n v="9"/>
    <n v="7"/>
    <n v="65"/>
  </r>
  <r>
    <s v="Blah Blah Blah (feat. 3OH!3)"/>
    <x v="40"/>
    <x v="0"/>
    <n v="2010"/>
    <n v="338422004"/>
    <x v="0"/>
    <n v="2605"/>
    <x v="50"/>
    <x v="42"/>
    <n v="24647"/>
    <x v="39"/>
    <n v="8511"/>
    <n v="156"/>
    <n v="17025"/>
    <n v="336"/>
    <n v="52788"/>
    <x v="7"/>
    <n v="-3"/>
    <s v="Minor"/>
    <x v="4"/>
    <x v="1"/>
    <n v="42"/>
    <x v="11"/>
    <n v="172"/>
    <n v="2.8666666666666667"/>
    <n v="8"/>
    <n v="12"/>
    <n v="62"/>
  </r>
  <r>
    <s v="Blame"/>
    <x v="41"/>
    <x v="0"/>
    <n v="2015"/>
    <n v="951637566"/>
    <x v="1"/>
    <n v="8528"/>
    <x v="51"/>
    <x v="43"/>
    <n v="14263"/>
    <x v="40"/>
    <n v="1016"/>
    <n v="38"/>
    <n v="24996"/>
    <n v="214"/>
    <n v="48803"/>
    <x v="3"/>
    <n v="-4"/>
    <s v="Minor"/>
    <x v="13"/>
    <x v="35"/>
    <n v="34"/>
    <x v="41"/>
    <n v="213"/>
    <n v="3.55"/>
    <n v="3"/>
    <n v="8"/>
    <n v="76"/>
  </r>
  <r>
    <s v="Bloodstream"/>
    <x v="26"/>
    <x v="2"/>
    <n v="2015"/>
    <n v="248088961"/>
    <x v="2"/>
    <n v="1856"/>
    <x v="52"/>
    <x v="44"/>
    <n v="14909"/>
    <x v="41"/>
    <n v="13"/>
    <n v="1"/>
    <n v="38297"/>
    <n v="298"/>
    <n v="55075"/>
    <x v="36"/>
    <n v="-6"/>
    <s v="Major"/>
    <x v="17"/>
    <x v="23"/>
    <n v="6"/>
    <x v="42"/>
    <n v="309"/>
    <n v="5.15"/>
    <n v="20"/>
    <n v="5"/>
    <n v="52"/>
  </r>
  <r>
    <s v="Blow"/>
    <x v="40"/>
    <x v="0"/>
    <n v="2011"/>
    <n v="363472647"/>
    <x v="0"/>
    <n v="2849"/>
    <x v="53"/>
    <x v="45"/>
    <n v="34302"/>
    <x v="42"/>
    <n v="9891"/>
    <n v="128"/>
    <n v="2867"/>
    <n v="153"/>
    <n v="49909"/>
    <x v="7"/>
    <n v="-4"/>
    <s v="Minor"/>
    <x v="32"/>
    <x v="1"/>
    <n v="7"/>
    <x v="43"/>
    <n v="220"/>
    <n v="3.6666666666666665"/>
    <n v="0"/>
    <n v="4"/>
    <n v="64"/>
  </r>
  <r>
    <s v="Blow Me (One Last Kiss)"/>
    <x v="42"/>
    <x v="0"/>
    <n v="2012"/>
    <n v="2000"/>
    <x v="2"/>
    <n v="1367"/>
    <x v="54"/>
    <x v="46"/>
    <n v="36988"/>
    <x v="43"/>
    <n v="2485"/>
    <n v="138"/>
    <n v="25675"/>
    <n v="284"/>
    <n v="66515"/>
    <x v="37"/>
    <n v="-3"/>
    <s v="Minor"/>
    <x v="2"/>
    <x v="31"/>
    <n v="25"/>
    <x v="44"/>
    <n v="256"/>
    <n v="4.2666666666666666"/>
    <n v="0"/>
    <n v="4"/>
    <n v="0"/>
  </r>
  <r>
    <s v="Blown"/>
    <x v="43"/>
    <x v="0"/>
    <n v="2016"/>
    <n v="237351106"/>
    <x v="2"/>
    <n v="1678"/>
    <x v="55"/>
    <x v="47"/>
    <n v="10531"/>
    <x v="44"/>
    <n v="13"/>
    <n v="23"/>
    <n v="9300"/>
    <n v="345"/>
    <n v="21522"/>
    <x v="9"/>
    <n v="-5"/>
    <s v="Minor"/>
    <x v="16"/>
    <x v="14"/>
    <n v="10"/>
    <x v="27"/>
    <n v="197"/>
    <n v="3.2833333333333332"/>
    <n v="0"/>
    <n v="4"/>
    <n v="48"/>
  </r>
  <r>
    <s v="Blurred Lines"/>
    <x v="44"/>
    <x v="0"/>
    <n v="2013"/>
    <n v="983637508"/>
    <x v="1"/>
    <n v="8737"/>
    <x v="28"/>
    <x v="17"/>
    <n v="5639"/>
    <x v="45"/>
    <n v="14"/>
    <n v="24"/>
    <n v="8951"/>
    <n v="218"/>
    <n v="23341"/>
    <x v="7"/>
    <n v="-5"/>
    <s v="Minor"/>
    <x v="19"/>
    <x v="36"/>
    <n v="8"/>
    <x v="40"/>
    <n v="264"/>
    <n v="4.4000000000000004"/>
    <n v="0"/>
    <n v="4"/>
    <n v="76"/>
  </r>
  <r>
    <s v="BO$$"/>
    <x v="23"/>
    <x v="0"/>
    <n v="2015"/>
    <n v="408843328"/>
    <x v="0"/>
    <n v="3242"/>
    <x v="41"/>
    <x v="48"/>
    <n v="35145"/>
    <x v="43"/>
    <n v="10"/>
    <n v="5"/>
    <n v="26128"/>
    <n v="298"/>
    <n v="64525"/>
    <x v="22"/>
    <n v="-5"/>
    <s v="Major"/>
    <x v="27"/>
    <x v="16"/>
    <n v="5"/>
    <x v="23"/>
    <n v="171"/>
    <n v="2.85"/>
    <n v="1"/>
    <n v="11"/>
    <n v="66"/>
  </r>
  <r>
    <s v="Bodak Yellow"/>
    <x v="45"/>
    <x v="2"/>
    <n v="2017"/>
    <n v="540654286"/>
    <x v="1"/>
    <n v="4431"/>
    <x v="56"/>
    <x v="13"/>
    <n v="18992"/>
    <x v="46"/>
    <n v="107"/>
    <n v="2"/>
    <n v="4441"/>
    <n v="331"/>
    <n v="27971"/>
    <x v="10"/>
    <n v="-6"/>
    <s v="Major"/>
    <x v="33"/>
    <x v="37"/>
    <n v="35"/>
    <x v="45"/>
    <n v="224"/>
    <n v="3.7333333333333334"/>
    <n v="7"/>
    <n v="11"/>
    <n v="70"/>
  </r>
  <r>
    <s v="Body Moves"/>
    <x v="43"/>
    <x v="0"/>
    <n v="2017"/>
    <n v="330346424"/>
    <x v="0"/>
    <n v="2566"/>
    <x v="57"/>
    <x v="49"/>
    <n v="15748"/>
    <x v="47"/>
    <n v="61"/>
    <n v="43"/>
    <n v="34445"/>
    <n v="96"/>
    <n v="52820"/>
    <x v="38"/>
    <n v="-5"/>
    <s v="Major"/>
    <x v="34"/>
    <x v="34"/>
    <n v="4"/>
    <x v="36"/>
    <n v="236"/>
    <n v="3.9333333333333331"/>
    <n v="0"/>
    <n v="4"/>
    <n v="62"/>
  </r>
  <r>
    <s v="Body Say"/>
    <x v="46"/>
    <x v="0"/>
    <n v="2016"/>
    <n v="372476382"/>
    <x v="0"/>
    <n v="2942"/>
    <x v="32"/>
    <x v="50"/>
    <n v="20924"/>
    <x v="40"/>
    <n v="141"/>
    <n v="49"/>
    <n v="1254"/>
    <n v="71"/>
    <n v="25261"/>
    <x v="39"/>
    <n v="-5"/>
    <s v="Minor"/>
    <x v="22"/>
    <x v="14"/>
    <n v="28"/>
    <x v="6"/>
    <n v="194"/>
    <n v="3.2333333333333334"/>
    <n v="0"/>
    <n v="4"/>
    <n v="65"/>
  </r>
  <r>
    <s v="Bon appétit"/>
    <x v="39"/>
    <x v="0"/>
    <n v="2017"/>
    <n v="461437791"/>
    <x v="0"/>
    <n v="3600"/>
    <x v="58"/>
    <x v="47"/>
    <n v="10930"/>
    <x v="44"/>
    <n v="182"/>
    <n v="1"/>
    <n v="36019"/>
    <n v="395"/>
    <n v="50731"/>
    <x v="40"/>
    <n v="-6"/>
    <s v="Minor"/>
    <x v="35"/>
    <x v="4"/>
    <n v="22"/>
    <x v="11"/>
    <n v="228"/>
    <n v="3.8"/>
    <n v="13"/>
    <n v="6"/>
    <n v="68"/>
  </r>
  <r>
    <s v="Boom Boom"/>
    <x v="47"/>
    <x v="16"/>
    <n v="2018"/>
    <n v="258316038"/>
    <x v="0"/>
    <n v="1930"/>
    <x v="59"/>
    <x v="51"/>
    <n v="30678"/>
    <x v="48"/>
    <n v="6280"/>
    <n v="2"/>
    <n v="6851"/>
    <n v="256"/>
    <n v="45739"/>
    <x v="41"/>
    <n v="-8"/>
    <s v="Major"/>
    <x v="1"/>
    <x v="1"/>
    <n v="20"/>
    <x v="46"/>
    <n v="248"/>
    <n v="4.1333333333333337"/>
    <n v="0"/>
    <n v="5"/>
    <n v="53"/>
  </r>
  <r>
    <s v="Boom Clap - From the Motion Picture Das Schicksal ist ein mieser Verräter"/>
    <x v="48"/>
    <x v="17"/>
    <n v="2014"/>
    <n v="244658767"/>
    <x v="2"/>
    <n v="1756"/>
    <x v="60"/>
    <x v="52"/>
    <n v="16363"/>
    <x v="49"/>
    <n v="13"/>
    <n v="18"/>
    <n v="31769"/>
    <n v="144"/>
    <n v="49901"/>
    <x v="42"/>
    <n v="-4"/>
    <s v="Major"/>
    <x v="36"/>
    <x v="2"/>
    <n v="34"/>
    <x v="47"/>
    <n v="169"/>
    <n v="2.8166666666666669"/>
    <n v="7"/>
    <n v="6"/>
    <n v="50"/>
  </r>
  <r>
    <s v="Booty"/>
    <x v="13"/>
    <x v="0"/>
    <n v="2015"/>
    <n v="362361576"/>
    <x v="0"/>
    <n v="2814"/>
    <x v="58"/>
    <x v="27"/>
    <n v="30989"/>
    <x v="26"/>
    <n v="9"/>
    <n v="15"/>
    <n v="2583"/>
    <n v="387"/>
    <n v="36395"/>
    <x v="43"/>
    <n v="-4"/>
    <s v="Minor"/>
    <x v="16"/>
    <x v="30"/>
    <n v="26"/>
    <x v="4"/>
    <n v="210"/>
    <n v="3.5"/>
    <n v="0"/>
    <n v="5"/>
    <n v="64"/>
  </r>
  <r>
    <s v="Born This Way"/>
    <x v="14"/>
    <x v="0"/>
    <n v="2011"/>
    <n v="759208783"/>
    <x v="1"/>
    <n v="6638"/>
    <x v="61"/>
    <x v="53"/>
    <n v="13760"/>
    <x v="42"/>
    <n v="1275"/>
    <n v="163"/>
    <n v="17571"/>
    <n v="69"/>
    <n v="39244"/>
    <x v="19"/>
    <n v="-5"/>
    <s v="Major"/>
    <x v="21"/>
    <x v="18"/>
    <n v="33"/>
    <x v="39"/>
    <n v="260"/>
    <n v="4.333333333333333"/>
    <n v="0"/>
    <n v="16"/>
    <n v="73"/>
  </r>
  <r>
    <s v="Bound To You - Burlesque Original Motion Picture Soundtrack"/>
    <x v="49"/>
    <x v="0"/>
    <n v="2010"/>
    <n v="326792833"/>
    <x v="0"/>
    <n v="2537"/>
    <x v="53"/>
    <x v="54"/>
    <n v="26619"/>
    <x v="25"/>
    <n v="697"/>
    <n v="153"/>
    <n v="24538"/>
    <n v="379"/>
    <n v="54391"/>
    <x v="44"/>
    <n v="-5"/>
    <s v="Major"/>
    <x v="11"/>
    <x v="38"/>
    <n v="13"/>
    <x v="48"/>
    <n v="264"/>
    <n v="4.4000000000000004"/>
    <n v="83"/>
    <n v="3"/>
    <n v="61"/>
  </r>
  <r>
    <s v="Boyfriend"/>
    <x v="30"/>
    <x v="11"/>
    <n v="2012"/>
    <n v="608334048"/>
    <x v="1"/>
    <n v="4967"/>
    <x v="62"/>
    <x v="55"/>
    <n v="3360"/>
    <x v="50"/>
    <n v="6352"/>
    <n v="95"/>
    <n v="36002"/>
    <n v="89"/>
    <n v="50681"/>
    <x v="45"/>
    <n v="-6"/>
    <s v="Minor"/>
    <x v="26"/>
    <x v="25"/>
    <n v="13"/>
    <x v="18"/>
    <n v="171"/>
    <n v="2.85"/>
    <n v="4"/>
    <n v="5"/>
    <n v="71"/>
  </r>
  <r>
    <s v="Brave"/>
    <x v="50"/>
    <x v="18"/>
    <n v="2013"/>
    <n v="606361689"/>
    <x v="1"/>
    <n v="4893"/>
    <x v="63"/>
    <x v="56"/>
    <n v="9691"/>
    <x v="51"/>
    <n v="1632"/>
    <n v="3"/>
    <n v="2338"/>
    <n v="193"/>
    <n v="18554"/>
    <x v="46"/>
    <n v="-4"/>
    <s v="Major"/>
    <x v="4"/>
    <x v="12"/>
    <n v="4"/>
    <x v="49"/>
    <n v="221"/>
    <n v="3.6833333333333331"/>
    <n v="1"/>
    <n v="5"/>
    <n v="71"/>
  </r>
  <r>
    <s v="Break Free"/>
    <x v="51"/>
    <x v="0"/>
    <n v="2015"/>
    <n v="850608354"/>
    <x v="1"/>
    <n v="7681"/>
    <x v="64"/>
    <x v="57"/>
    <n v="10550"/>
    <x v="52"/>
    <n v="52"/>
    <n v="21"/>
    <n v="19025"/>
    <n v="125"/>
    <n v="37308"/>
    <x v="9"/>
    <n v="-5"/>
    <s v="Minor"/>
    <x v="37"/>
    <x v="28"/>
    <n v="20"/>
    <x v="50"/>
    <n v="215"/>
    <n v="3.5833333333333335"/>
    <n v="1"/>
    <n v="5"/>
    <n v="75"/>
  </r>
  <r>
    <s v="Break Your Heart"/>
    <x v="52"/>
    <x v="0"/>
    <n v="2010"/>
    <n v="208166039"/>
    <x v="2"/>
    <n v="1473"/>
    <x v="65"/>
    <x v="58"/>
    <n v="8583"/>
    <x v="53"/>
    <n v="4831"/>
    <n v="166"/>
    <n v="23662"/>
    <n v="331"/>
    <n v="38549"/>
    <x v="47"/>
    <n v="-5"/>
    <s v="Major"/>
    <x v="38"/>
    <x v="26"/>
    <n v="8"/>
    <x v="7"/>
    <n v="186"/>
    <n v="3.1"/>
    <n v="0"/>
    <n v="3"/>
    <n v="33"/>
  </r>
  <r>
    <s v="Broken Arrows"/>
    <x v="53"/>
    <x v="6"/>
    <n v="2015"/>
    <n v="373199958"/>
    <x v="0"/>
    <n v="2942"/>
    <x v="12"/>
    <x v="47"/>
    <n v="6733"/>
    <x v="44"/>
    <n v="21"/>
    <n v="5"/>
    <n v="33707"/>
    <n v="3"/>
    <n v="43403"/>
    <x v="48"/>
    <n v="-7"/>
    <s v="Major"/>
    <x v="31"/>
    <x v="14"/>
    <n v="10"/>
    <x v="51"/>
    <n v="233"/>
    <n v="3.8833333333333333"/>
    <n v="5"/>
    <n v="5"/>
    <n v="65"/>
  </r>
  <r>
    <s v="Burn"/>
    <x v="27"/>
    <x v="0"/>
    <n v="2014"/>
    <n v="600976848"/>
    <x v="1"/>
    <n v="4875"/>
    <x v="46"/>
    <x v="31"/>
    <n v="32491"/>
    <x v="29"/>
    <n v="10"/>
    <n v="8"/>
    <n v="10754"/>
    <n v="91"/>
    <n v="48130"/>
    <x v="39"/>
    <n v="-5"/>
    <s v="Minor"/>
    <x v="24"/>
    <x v="33"/>
    <n v="11"/>
    <x v="18"/>
    <n v="231"/>
    <n v="3.85"/>
    <n v="31"/>
    <n v="4"/>
    <n v="71"/>
  </r>
  <r>
    <s v="BURNITUP!"/>
    <x v="54"/>
    <x v="0"/>
    <n v="2016"/>
    <n v="206399629"/>
    <x v="2"/>
    <n v="1452"/>
    <x v="66"/>
    <x v="4"/>
    <n v="31694"/>
    <x v="4"/>
    <n v="113"/>
    <n v="26"/>
    <n v="34744"/>
    <n v="290"/>
    <n v="68003"/>
    <x v="49"/>
    <n v="-7"/>
    <s v="Major"/>
    <x v="0"/>
    <x v="39"/>
    <n v="31"/>
    <x v="52"/>
    <n v="250"/>
    <n v="4.166666666666667"/>
    <n v="5"/>
    <n v="18"/>
    <n v="31"/>
  </r>
  <r>
    <s v="Cake By The Ocean"/>
    <x v="43"/>
    <x v="0"/>
    <n v="2016"/>
    <n v="1608164312"/>
    <x v="3"/>
    <n v="19806"/>
    <x v="67"/>
    <x v="59"/>
    <n v="11837"/>
    <x v="42"/>
    <n v="38"/>
    <n v="18"/>
    <n v="18920"/>
    <n v="220"/>
    <n v="50601"/>
    <x v="27"/>
    <n v="-5"/>
    <s v="Major"/>
    <x v="18"/>
    <x v="9"/>
    <n v="4"/>
    <x v="53"/>
    <n v="219"/>
    <n v="3.65"/>
    <n v="15"/>
    <n v="5"/>
    <n v="81"/>
  </r>
  <r>
    <s v="California Gurls"/>
    <x v="39"/>
    <x v="0"/>
    <n v="2010"/>
    <n v="339659802"/>
    <x v="0"/>
    <n v="2616"/>
    <x v="46"/>
    <x v="60"/>
    <n v="28089"/>
    <x v="8"/>
    <n v="5821"/>
    <n v="189"/>
    <n v="14604"/>
    <n v="237"/>
    <n v="51130"/>
    <x v="10"/>
    <n v="-4"/>
    <s v="Minor"/>
    <x v="18"/>
    <x v="3"/>
    <n v="18"/>
    <x v="4"/>
    <n v="235"/>
    <n v="3.9166666666666665"/>
    <n v="0"/>
    <n v="5"/>
    <n v="62"/>
  </r>
  <r>
    <s v="Call Me Maybe"/>
    <x v="55"/>
    <x v="11"/>
    <n v="2012"/>
    <n v="999748277"/>
    <x v="1"/>
    <n v="8879"/>
    <x v="68"/>
    <x v="61"/>
    <n v="16666"/>
    <x v="31"/>
    <n v="7014"/>
    <n v="58"/>
    <n v="31764"/>
    <n v="189"/>
    <n v="64323"/>
    <x v="7"/>
    <n v="-7"/>
    <s v="Major"/>
    <x v="39"/>
    <x v="27"/>
    <n v="11"/>
    <x v="3"/>
    <n v="193"/>
    <n v="3.2166666666666668"/>
    <n v="1"/>
    <n v="4"/>
    <n v="76"/>
  </r>
  <r>
    <s v="Call You Mine"/>
    <x v="3"/>
    <x v="1"/>
    <n v="2019"/>
    <n v="1575467011"/>
    <x v="3"/>
    <n v="18371"/>
    <x v="69"/>
    <x v="62"/>
    <n v="6464"/>
    <x v="54"/>
    <n v="710"/>
    <n v="23"/>
    <n v="1098"/>
    <n v="334"/>
    <n v="26643"/>
    <x v="50"/>
    <n v="-6"/>
    <s v="Major"/>
    <x v="37"/>
    <x v="18"/>
    <n v="34"/>
    <x v="11"/>
    <n v="218"/>
    <n v="3.6333333333333333"/>
    <n v="20"/>
    <n v="3"/>
    <n v="81"/>
  </r>
  <r>
    <s v="Came Here for Love"/>
    <x v="56"/>
    <x v="0"/>
    <n v="2017"/>
    <n v="538115192"/>
    <x v="1"/>
    <n v="4326"/>
    <x v="70"/>
    <x v="1"/>
    <n v="12982"/>
    <x v="1"/>
    <n v="212"/>
    <n v="1"/>
    <n v="5771"/>
    <n v="395"/>
    <n v="23291"/>
    <x v="10"/>
    <n v="-3"/>
    <s v="Major"/>
    <x v="27"/>
    <x v="30"/>
    <n v="12"/>
    <x v="54"/>
    <n v="203"/>
    <n v="3.3833333333333333"/>
    <n v="3"/>
    <n v="4"/>
    <n v="70"/>
  </r>
  <r>
    <s v="Cannonball"/>
    <x v="57"/>
    <x v="19"/>
    <n v="2014"/>
    <n v="212351890"/>
    <x v="2"/>
    <n v="1492"/>
    <x v="71"/>
    <x v="32"/>
    <n v="35005"/>
    <x v="35"/>
    <n v="9"/>
    <n v="42"/>
    <n v="17334"/>
    <n v="389"/>
    <n v="53840"/>
    <x v="42"/>
    <n v="-3"/>
    <s v="Major"/>
    <x v="23"/>
    <x v="33"/>
    <n v="19"/>
    <x v="55"/>
    <n v="215"/>
    <n v="3.5833333333333335"/>
    <n v="2"/>
    <n v="5"/>
    <n v="37"/>
  </r>
  <r>
    <s v="Can't Hold Us (feat. Ray Dalton)"/>
    <x v="58"/>
    <x v="0"/>
    <n v="2013"/>
    <n v="571386359"/>
    <x v="1"/>
    <n v="4635"/>
    <x v="72"/>
    <x v="58"/>
    <n v="7850"/>
    <x v="55"/>
    <n v="1034"/>
    <n v="37"/>
    <n v="6264"/>
    <n v="253"/>
    <n v="19783"/>
    <x v="16"/>
    <n v="-4"/>
    <s v="Major"/>
    <x v="40"/>
    <x v="14"/>
    <n v="10"/>
    <x v="56"/>
    <n v="258"/>
    <n v="4.3"/>
    <n v="3"/>
    <n v="8"/>
    <n v="70"/>
  </r>
  <r>
    <s v="Can't Remember to Forget You (feat. Rihanna)"/>
    <x v="59"/>
    <x v="20"/>
    <n v="2014"/>
    <n v="332506354"/>
    <x v="0"/>
    <n v="2578"/>
    <x v="73"/>
    <x v="52"/>
    <n v="7326"/>
    <x v="49"/>
    <n v="2"/>
    <n v="23"/>
    <n v="22827"/>
    <n v="313"/>
    <n v="32733"/>
    <x v="51"/>
    <n v="-4"/>
    <s v="Major"/>
    <x v="36"/>
    <x v="28"/>
    <n v="14"/>
    <x v="14"/>
    <n v="207"/>
    <n v="3.45"/>
    <n v="12"/>
    <n v="7"/>
    <n v="62"/>
  </r>
  <r>
    <s v="CAN'T STOP THE FEELING! (Original Song from DreamWorks Animation's &quot;TROLLS&quot;)"/>
    <x v="60"/>
    <x v="0"/>
    <n v="2016"/>
    <n v="1304313953"/>
    <x v="3"/>
    <n v="14114"/>
    <x v="74"/>
    <x v="52"/>
    <n v="6504"/>
    <x v="49"/>
    <n v="67"/>
    <n v="11"/>
    <n v="37595"/>
    <n v="16"/>
    <n v="58280"/>
    <x v="32"/>
    <n v="-6"/>
    <s v="Minor"/>
    <x v="21"/>
    <x v="26"/>
    <n v="19"/>
    <x v="57"/>
    <n v="236"/>
    <n v="3.9333333333333331"/>
    <n v="1"/>
    <n v="7"/>
    <n v="79"/>
  </r>
  <r>
    <s v="Capital Letters"/>
    <x v="61"/>
    <x v="0"/>
    <n v="2018"/>
    <n v="918915401"/>
    <x v="1"/>
    <n v="8186"/>
    <x v="75"/>
    <x v="63"/>
    <n v="19568"/>
    <x v="56"/>
    <n v="201"/>
    <n v="5"/>
    <n v="5571"/>
    <n v="126"/>
    <n v="33526"/>
    <x v="13"/>
    <n v="-6"/>
    <s v="Major"/>
    <x v="36"/>
    <x v="19"/>
    <n v="5"/>
    <x v="45"/>
    <n v="219"/>
    <n v="3.65"/>
    <n v="3"/>
    <n v="8"/>
    <n v="76"/>
  </r>
  <r>
    <s v="Castle Walls (feat. Christina Aguilera)"/>
    <x v="62"/>
    <x v="21"/>
    <n v="2010"/>
    <n v="240684449"/>
    <x v="2"/>
    <n v="1703"/>
    <x v="76"/>
    <x v="64"/>
    <n v="30525"/>
    <x v="31"/>
    <n v="1823"/>
    <n v="135"/>
    <n v="21275"/>
    <n v="205"/>
    <n v="55326"/>
    <x v="52"/>
    <n v="-5"/>
    <s v="Minor"/>
    <x v="13"/>
    <x v="40"/>
    <n v="26"/>
    <x v="46"/>
    <n v="329"/>
    <n v="5.4833333333333334"/>
    <n v="7"/>
    <n v="39"/>
    <n v="49"/>
  </r>
  <r>
    <s v="Celebrate (From the Original Motion Picture &quot;Penguins of Madagascar&quot;)"/>
    <x v="63"/>
    <x v="0"/>
    <n v="2015"/>
    <n v="242767149"/>
    <x v="2"/>
    <n v="1730"/>
    <x v="15"/>
    <x v="52"/>
    <n v="37681"/>
    <x v="49"/>
    <n v="17"/>
    <n v="14"/>
    <n v="19649"/>
    <n v="27"/>
    <n v="59077"/>
    <x v="53"/>
    <n v="-3"/>
    <s v="Major"/>
    <x v="41"/>
    <x v="2"/>
    <n v="6"/>
    <x v="58"/>
    <n v="193"/>
    <n v="3.2166666666666668"/>
    <n v="1"/>
    <n v="6"/>
    <n v="50"/>
  </r>
  <r>
    <s v="Chained To The Rhythm"/>
    <x v="39"/>
    <x v="0"/>
    <n v="2017"/>
    <n v="624101957"/>
    <x v="1"/>
    <n v="5184"/>
    <x v="77"/>
    <x v="31"/>
    <n v="10910"/>
    <x v="29"/>
    <n v="13"/>
    <n v="8"/>
    <n v="27685"/>
    <n v="153"/>
    <n v="43792"/>
    <x v="20"/>
    <n v="-5"/>
    <s v="Major"/>
    <x v="6"/>
    <x v="40"/>
    <n v="20"/>
    <x v="59"/>
    <n v="238"/>
    <n v="3.9666666666666668"/>
    <n v="8"/>
    <n v="17"/>
    <n v="72"/>
  </r>
  <r>
    <s v="Champagne Problems"/>
    <x v="64"/>
    <x v="0"/>
    <n v="2016"/>
    <n v="240769997"/>
    <x v="2"/>
    <n v="1715"/>
    <x v="78"/>
    <x v="65"/>
    <n v="8470"/>
    <x v="57"/>
    <n v="238"/>
    <n v="1"/>
    <n v="24768"/>
    <n v="170"/>
    <n v="35191"/>
    <x v="29"/>
    <n v="-5"/>
    <s v="Minor"/>
    <x v="24"/>
    <x v="17"/>
    <n v="9"/>
    <x v="47"/>
    <n v="193"/>
    <n v="3.2166666666666668"/>
    <n v="0"/>
    <n v="13"/>
    <n v="50"/>
  </r>
  <r>
    <s v="Chandelier"/>
    <x v="15"/>
    <x v="5"/>
    <n v="2014"/>
    <n v="279717388"/>
    <x v="0"/>
    <n v="2050"/>
    <x v="79"/>
    <x v="66"/>
    <n v="28583"/>
    <x v="58"/>
    <n v="1212"/>
    <n v="12"/>
    <n v="6767"/>
    <n v="336"/>
    <n v="38612"/>
    <x v="54"/>
    <n v="-3"/>
    <s v="Major"/>
    <x v="24"/>
    <x v="38"/>
    <n v="7"/>
    <x v="60"/>
    <n v="216"/>
    <n v="3.6"/>
    <n v="2"/>
    <n v="7"/>
    <n v="56"/>
  </r>
  <r>
    <s v="Change"/>
    <x v="49"/>
    <x v="0"/>
    <n v="2016"/>
    <n v="263453310"/>
    <x v="0"/>
    <n v="1950"/>
    <x v="80"/>
    <x v="13"/>
    <n v="33514"/>
    <x v="13"/>
    <n v="30"/>
    <n v="38"/>
    <n v="34060"/>
    <n v="263"/>
    <n v="69554"/>
    <x v="55"/>
    <n v="-6"/>
    <s v="Minor"/>
    <x v="42"/>
    <x v="41"/>
    <n v="13"/>
    <x v="13"/>
    <n v="187"/>
    <n v="3.1166666666666667"/>
    <n v="68"/>
    <n v="8"/>
    <n v="54"/>
  </r>
  <r>
    <s v="Cheap Thrills"/>
    <x v="15"/>
    <x v="5"/>
    <n v="2016"/>
    <n v="357580552"/>
    <x v="0"/>
    <n v="2795"/>
    <x v="81"/>
    <x v="16"/>
    <n v="4570"/>
    <x v="15"/>
    <n v="11"/>
    <n v="34"/>
    <n v="20790"/>
    <n v="269"/>
    <n v="28166"/>
    <x v="17"/>
    <n v="-5"/>
    <s v="Minor"/>
    <x v="6"/>
    <x v="18"/>
    <n v="8"/>
    <x v="27"/>
    <n v="225"/>
    <n v="3.75"/>
    <n v="6"/>
    <n v="22"/>
    <n v="64"/>
  </r>
  <r>
    <s v="Cheers (Drink To That)"/>
    <x v="21"/>
    <x v="9"/>
    <n v="2011"/>
    <n v="295152154"/>
    <x v="0"/>
    <n v="2235"/>
    <x v="82"/>
    <x v="67"/>
    <n v="16571"/>
    <x v="59"/>
    <n v="9862"/>
    <n v="128"/>
    <n v="1104"/>
    <n v="179"/>
    <n v="29772"/>
    <x v="52"/>
    <n v="-4"/>
    <s v="Major"/>
    <x v="43"/>
    <x v="5"/>
    <n v="29"/>
    <x v="27"/>
    <n v="262"/>
    <n v="4.3666666666666663"/>
    <n v="2"/>
    <n v="4"/>
    <n v="58"/>
  </r>
  <r>
    <s v="Chun-Li"/>
    <x v="22"/>
    <x v="0"/>
    <n v="2018"/>
    <n v="698086140"/>
    <x v="1"/>
    <n v="6074"/>
    <x v="83"/>
    <x v="68"/>
    <n v="13067"/>
    <x v="60"/>
    <n v="45"/>
    <n v="20"/>
    <n v="5122"/>
    <n v="79"/>
    <n v="24308"/>
    <x v="43"/>
    <n v="-5"/>
    <s v="Minor"/>
    <x v="32"/>
    <x v="28"/>
    <n v="11"/>
    <x v="21"/>
    <n v="192"/>
    <n v="3.2"/>
    <n v="28"/>
    <n v="37"/>
    <n v="73"/>
  </r>
  <r>
    <s v="Clarity"/>
    <x v="65"/>
    <x v="22"/>
    <n v="2013"/>
    <n v="863756573"/>
    <x v="1"/>
    <n v="7830"/>
    <x v="84"/>
    <x v="69"/>
    <n v="27103"/>
    <x v="61"/>
    <n v="2703"/>
    <n v="22"/>
    <n v="30362"/>
    <n v="3"/>
    <n v="67998"/>
    <x v="3"/>
    <n v="-3"/>
    <s v="Major"/>
    <x v="24"/>
    <x v="15"/>
    <n v="7"/>
    <x v="61"/>
    <n v="271"/>
    <n v="4.5166666666666666"/>
    <n v="4"/>
    <n v="7"/>
    <n v="75"/>
  </r>
  <r>
    <s v="Close"/>
    <x v="64"/>
    <x v="0"/>
    <n v="2016"/>
    <n v="651732901"/>
    <x v="1"/>
    <n v="5290"/>
    <x v="85"/>
    <x v="70"/>
    <n v="8810"/>
    <x v="62"/>
    <n v="142"/>
    <n v="20"/>
    <n v="22076"/>
    <n v="290"/>
    <n v="36318"/>
    <x v="19"/>
    <n v="-5"/>
    <s v="Minor"/>
    <x v="9"/>
    <x v="34"/>
    <n v="14"/>
    <x v="4"/>
    <n v="234"/>
    <n v="3.9"/>
    <n v="25"/>
    <n v="8"/>
    <n v="72"/>
  </r>
  <r>
    <s v="Closer"/>
    <x v="3"/>
    <x v="1"/>
    <n v="2017"/>
    <n v="2355719893"/>
    <x v="3"/>
    <n v="33898"/>
    <x v="20"/>
    <x v="7"/>
    <n v="7756"/>
    <x v="7"/>
    <n v="135"/>
    <n v="49"/>
    <n v="11664"/>
    <n v="295"/>
    <n v="53453"/>
    <x v="56"/>
    <n v="-6"/>
    <s v="Major"/>
    <x v="30"/>
    <x v="1"/>
    <n v="11"/>
    <x v="3"/>
    <n v="245"/>
    <n v="4.083333333333333"/>
    <n v="41"/>
    <n v="3"/>
    <n v="86"/>
  </r>
  <r>
    <s v="Clown"/>
    <x v="66"/>
    <x v="0"/>
    <n v="2013"/>
    <n v="307752576"/>
    <x v="0"/>
    <n v="2415"/>
    <x v="86"/>
    <x v="52"/>
    <n v="12386"/>
    <x v="49"/>
    <n v="6"/>
    <n v="13"/>
    <n v="16178"/>
    <n v="129"/>
    <n v="30985"/>
    <x v="9"/>
    <n v="-8"/>
    <s v="Major"/>
    <x v="44"/>
    <x v="40"/>
    <n v="11"/>
    <x v="38"/>
    <n v="221"/>
    <n v="3.6833333333333331"/>
    <n v="92"/>
    <n v="4"/>
    <n v="60"/>
  </r>
  <r>
    <s v="Club Can't Handle Me (feat. David Guetta)"/>
    <x v="67"/>
    <x v="0"/>
    <n v="2010"/>
    <n v="782369383"/>
    <x v="1"/>
    <n v="6804"/>
    <x v="87"/>
    <x v="71"/>
    <n v="19495"/>
    <x v="63"/>
    <n v="2696"/>
    <n v="111"/>
    <n v="34460"/>
    <n v="333"/>
    <n v="63455"/>
    <x v="3"/>
    <n v="-4"/>
    <s v="Minor"/>
    <x v="27"/>
    <x v="41"/>
    <n v="6"/>
    <x v="59"/>
    <n v="235"/>
    <n v="3.9166666666666665"/>
    <n v="3"/>
    <n v="3"/>
    <n v="73"/>
  </r>
  <r>
    <s v="Cold (feat. Future)"/>
    <x v="25"/>
    <x v="2"/>
    <n v="2017"/>
    <n v="621660989"/>
    <x v="1"/>
    <n v="5153"/>
    <x v="40"/>
    <x v="29"/>
    <n v="11958"/>
    <x v="25"/>
    <n v="24"/>
    <n v="18"/>
    <n v="21715"/>
    <n v="64"/>
    <n v="38850"/>
    <x v="13"/>
    <n v="-6"/>
    <s v="Major"/>
    <x v="33"/>
    <x v="28"/>
    <n v="5"/>
    <x v="62"/>
    <n v="234"/>
    <n v="3.9"/>
    <n v="14"/>
    <n v="11"/>
    <n v="72"/>
  </r>
  <r>
    <s v="Cold Water (feat. Justin Bieber &amp; MØ)"/>
    <x v="68"/>
    <x v="0"/>
    <n v="2016"/>
    <n v="711366595"/>
    <x v="1"/>
    <n v="6135"/>
    <x v="88"/>
    <x v="52"/>
    <n v="20475"/>
    <x v="49"/>
    <n v="49"/>
    <n v="26"/>
    <n v="4191"/>
    <n v="274"/>
    <n v="30850"/>
    <x v="31"/>
    <n v="-5"/>
    <s v="Minor"/>
    <x v="6"/>
    <x v="42"/>
    <n v="16"/>
    <x v="5"/>
    <n v="185"/>
    <n v="3.0833333333333335"/>
    <n v="7"/>
    <n v="4"/>
    <n v="73"/>
  </r>
  <r>
    <s v="Come &amp; Get It"/>
    <x v="33"/>
    <x v="0"/>
    <n v="2013"/>
    <n v="287201015"/>
    <x v="0"/>
    <n v="2163"/>
    <x v="89"/>
    <x v="72"/>
    <n v="31499"/>
    <x v="20"/>
    <n v="3394"/>
    <n v="11"/>
    <n v="1045"/>
    <n v="149"/>
    <n v="38101"/>
    <x v="52"/>
    <n v="-4"/>
    <s v="Minor"/>
    <x v="35"/>
    <x v="12"/>
    <n v="10"/>
    <x v="46"/>
    <n v="232"/>
    <n v="3.8666666666666667"/>
    <n v="1"/>
    <n v="5"/>
    <n v="57"/>
  </r>
  <r>
    <s v="Come Get It Bae"/>
    <x v="69"/>
    <x v="0"/>
    <n v="2014"/>
    <n v="301242089"/>
    <x v="0"/>
    <n v="2308"/>
    <x v="90"/>
    <x v="9"/>
    <n v="14623"/>
    <x v="9"/>
    <n v="1"/>
    <n v="10"/>
    <n v="12572"/>
    <n v="218"/>
    <n v="29504"/>
    <x v="7"/>
    <n v="-6"/>
    <s v="Major"/>
    <x v="6"/>
    <x v="37"/>
    <n v="10"/>
    <x v="53"/>
    <n v="202"/>
    <n v="3.3666666666666667"/>
    <n v="27"/>
    <n v="8"/>
    <n v="59"/>
  </r>
  <r>
    <s v="Company"/>
    <x v="30"/>
    <x v="11"/>
    <n v="2015"/>
    <n v="655466831"/>
    <x v="1"/>
    <n v="5342"/>
    <x v="91"/>
    <x v="73"/>
    <n v="36292"/>
    <x v="64"/>
    <n v="59"/>
    <n v="1"/>
    <n v="18865"/>
    <n v="122"/>
    <n v="60558"/>
    <x v="56"/>
    <n v="-5"/>
    <s v="Major"/>
    <x v="6"/>
    <x v="18"/>
    <n v="8"/>
    <x v="63"/>
    <n v="208"/>
    <n v="3.4666666666666668"/>
    <n v="13"/>
    <n v="6"/>
    <n v="72"/>
  </r>
  <r>
    <s v="Con Calma - Remix"/>
    <x v="70"/>
    <x v="23"/>
    <n v="2019"/>
    <n v="888046992"/>
    <x v="1"/>
    <n v="8084"/>
    <x v="27"/>
    <x v="74"/>
    <n v="26208"/>
    <x v="65"/>
    <n v="612"/>
    <n v="6"/>
    <n v="29238"/>
    <n v="384"/>
    <n v="64142"/>
    <x v="57"/>
    <n v="-3"/>
    <s v="Minor"/>
    <x v="27"/>
    <x v="22"/>
    <n v="4"/>
    <x v="31"/>
    <n v="181"/>
    <n v="3.0166666666666666"/>
    <n v="17"/>
    <n v="5"/>
    <n v="76"/>
  </r>
  <r>
    <s v="Confident"/>
    <x v="46"/>
    <x v="0"/>
    <n v="2016"/>
    <n v="843957510"/>
    <x v="1"/>
    <n v="7655"/>
    <x v="92"/>
    <x v="75"/>
    <n v="24263"/>
    <x v="66"/>
    <n v="20"/>
    <n v="9"/>
    <n v="36757"/>
    <n v="98"/>
    <n v="68695"/>
    <x v="9"/>
    <n v="-6"/>
    <s v="Minor"/>
    <x v="18"/>
    <x v="18"/>
    <n v="9"/>
    <x v="9"/>
    <n v="206"/>
    <n v="3.4333333333333331"/>
    <n v="0"/>
    <n v="7"/>
    <n v="75"/>
  </r>
  <r>
    <s v="Cool Girl"/>
    <x v="71"/>
    <x v="0"/>
    <n v="2016"/>
    <n v="497225336"/>
    <x v="0"/>
    <n v="4004"/>
    <x v="93"/>
    <x v="5"/>
    <n v="19927"/>
    <x v="5"/>
    <n v="25"/>
    <n v="22"/>
    <n v="32466"/>
    <n v="398"/>
    <n v="56422"/>
    <x v="38"/>
    <n v="-7"/>
    <s v="Minor"/>
    <x v="34"/>
    <x v="26"/>
    <n v="8"/>
    <x v="13"/>
    <n v="199"/>
    <n v="3.3166666666666669"/>
    <n v="31"/>
    <n v="11"/>
    <n v="69"/>
  </r>
  <r>
    <s v="Cooler Than Me - Single Mix"/>
    <x v="72"/>
    <x v="0"/>
    <n v="2010"/>
    <n v="775542072"/>
    <x v="1"/>
    <n v="6672"/>
    <x v="3"/>
    <x v="76"/>
    <n v="10791"/>
    <x v="17"/>
    <n v="282"/>
    <n v="101"/>
    <n v="34800"/>
    <n v="25"/>
    <n v="52545"/>
    <x v="9"/>
    <n v="-5"/>
    <s v="Major"/>
    <x v="23"/>
    <x v="9"/>
    <n v="70"/>
    <x v="7"/>
    <n v="213"/>
    <n v="3.55"/>
    <n v="18"/>
    <n v="5"/>
    <n v="73"/>
  </r>
  <r>
    <s v="Crazy Kids (feat. will.i.am)"/>
    <x v="40"/>
    <x v="0"/>
    <n v="2013"/>
    <n v="235549288"/>
    <x v="2"/>
    <n v="1639"/>
    <x v="94"/>
    <x v="17"/>
    <n v="25212"/>
    <x v="45"/>
    <n v="24"/>
    <n v="41"/>
    <n v="17329"/>
    <n v="181"/>
    <n v="44204"/>
    <x v="3"/>
    <n v="-4"/>
    <s v="Major"/>
    <x v="18"/>
    <x v="25"/>
    <n v="13"/>
    <x v="5"/>
    <n v="229"/>
    <n v="3.8166666666666669"/>
    <n v="4"/>
    <n v="4"/>
    <n v="46"/>
  </r>
  <r>
    <s v="Cross Me (feat. Chance the Rapper &amp; PnB Rock)"/>
    <x v="26"/>
    <x v="2"/>
    <n v="2019"/>
    <n v="822633917"/>
    <x v="1"/>
    <n v="7370"/>
    <x v="95"/>
    <x v="70"/>
    <n v="18403"/>
    <x v="62"/>
    <n v="384"/>
    <n v="12"/>
    <n v="6541"/>
    <n v="22"/>
    <n v="32698"/>
    <x v="56"/>
    <n v="-6"/>
    <s v="Major"/>
    <x v="35"/>
    <x v="1"/>
    <n v="7"/>
    <x v="31"/>
    <n v="206"/>
    <n v="3.4333333333333331"/>
    <n v="21"/>
    <n v="12"/>
    <n v="75"/>
  </r>
  <r>
    <s v="Cruel (feat. ZAYN)"/>
    <x v="73"/>
    <x v="0"/>
    <n v="2016"/>
    <n v="342779426"/>
    <x v="0"/>
    <n v="2619"/>
    <x v="96"/>
    <x v="13"/>
    <n v="2089"/>
    <x v="13"/>
    <n v="39"/>
    <n v="11"/>
    <n v="35572"/>
    <n v="337"/>
    <n v="40319"/>
    <x v="41"/>
    <n v="-4"/>
    <s v="Major"/>
    <x v="8"/>
    <x v="31"/>
    <n v="16"/>
    <x v="26"/>
    <n v="228"/>
    <n v="3.8"/>
    <n v="2"/>
    <n v="12"/>
    <n v="63"/>
  </r>
  <r>
    <s v="Crying in the Club"/>
    <x v="74"/>
    <x v="0"/>
    <n v="2017"/>
    <n v="843309044"/>
    <x v="1"/>
    <n v="7615"/>
    <x v="97"/>
    <x v="16"/>
    <n v="14191"/>
    <x v="15"/>
    <n v="51"/>
    <n v="11"/>
    <n v="10931"/>
    <n v="328"/>
    <n v="32788"/>
    <x v="58"/>
    <n v="-6"/>
    <s v="Minor"/>
    <x v="9"/>
    <x v="43"/>
    <n v="16"/>
    <x v="64"/>
    <n v="216"/>
    <n v="3.6"/>
    <n v="33"/>
    <n v="38"/>
    <n v="75"/>
  </r>
  <r>
    <s v="Cut To The Feeling"/>
    <x v="55"/>
    <x v="11"/>
    <n v="2017"/>
    <n v="488386797"/>
    <x v="0"/>
    <n v="3947"/>
    <x v="98"/>
    <x v="77"/>
    <n v="28898"/>
    <x v="50"/>
    <n v="23"/>
    <n v="10"/>
    <n v="11163"/>
    <n v="311"/>
    <n v="44031"/>
    <x v="59"/>
    <n v="-3"/>
    <s v="Minor"/>
    <x v="43"/>
    <x v="30"/>
    <n v="30"/>
    <x v="19"/>
    <n v="208"/>
    <n v="3.4666666666666668"/>
    <n v="1"/>
    <n v="6"/>
    <n v="69"/>
  </r>
  <r>
    <s v="Dance Again"/>
    <x v="13"/>
    <x v="0"/>
    <n v="2012"/>
    <n v="421040617"/>
    <x v="0"/>
    <n v="3282"/>
    <x v="72"/>
    <x v="78"/>
    <n v="15752"/>
    <x v="67"/>
    <n v="2938"/>
    <n v="139"/>
    <n v="27346"/>
    <n v="142"/>
    <n v="49318"/>
    <x v="3"/>
    <n v="-5"/>
    <s v="Minor"/>
    <x v="13"/>
    <x v="3"/>
    <n v="10"/>
    <x v="32"/>
    <n v="237"/>
    <n v="3.95"/>
    <n v="2"/>
    <n v="7"/>
    <n v="66"/>
  </r>
  <r>
    <s v="Dangerous"/>
    <x v="75"/>
    <x v="0"/>
    <n v="2015"/>
    <n v="200660871"/>
    <x v="2"/>
    <n v="1397"/>
    <x v="15"/>
    <x v="57"/>
    <n v="24057"/>
    <x v="52"/>
    <n v="34"/>
    <n v="1"/>
    <n v="38993"/>
    <n v="25"/>
    <n v="64481"/>
    <x v="60"/>
    <n v="-5"/>
    <s v="Minor"/>
    <x v="20"/>
    <x v="44"/>
    <n v="8"/>
    <x v="19"/>
    <n v="255"/>
    <n v="4.25"/>
    <n v="0"/>
    <n v="5"/>
    <n v="18"/>
  </r>
  <r>
    <s v="Dangerous Woman"/>
    <x v="51"/>
    <x v="0"/>
    <n v="2016"/>
    <n v="1210599487"/>
    <x v="3"/>
    <n v="11985"/>
    <x v="99"/>
    <x v="79"/>
    <n v="9784"/>
    <x v="68"/>
    <n v="4746"/>
    <n v="17"/>
    <n v="36777"/>
    <n v="354"/>
    <n v="63292"/>
    <x v="14"/>
    <n v="-5"/>
    <s v="Major"/>
    <x v="19"/>
    <x v="19"/>
    <n v="36"/>
    <x v="51"/>
    <n v="236"/>
    <n v="3.9333333333333331"/>
    <n v="5"/>
    <n v="4"/>
    <n v="78"/>
  </r>
  <r>
    <s v="Dark Horse"/>
    <x v="39"/>
    <x v="0"/>
    <n v="2014"/>
    <n v="1235005533"/>
    <x v="3"/>
    <n v="12685"/>
    <x v="100"/>
    <x v="13"/>
    <n v="18660"/>
    <x v="13"/>
    <n v="24"/>
    <n v="6"/>
    <n v="39225"/>
    <n v="200"/>
    <n v="70594"/>
    <x v="61"/>
    <n v="-6"/>
    <s v="Minor"/>
    <x v="17"/>
    <x v="34"/>
    <n v="17"/>
    <x v="41"/>
    <n v="216"/>
    <n v="3.6"/>
    <n v="0"/>
    <n v="5"/>
    <n v="78"/>
  </r>
  <r>
    <s v="Daylight"/>
    <x v="25"/>
    <x v="2"/>
    <n v="2013"/>
    <n v="417230415"/>
    <x v="0"/>
    <n v="3272"/>
    <x v="101"/>
    <x v="80"/>
    <n v="36116"/>
    <x v="69"/>
    <n v="1"/>
    <n v="21"/>
    <n v="13690"/>
    <n v="363"/>
    <n v="53079"/>
    <x v="7"/>
    <n v="-5"/>
    <s v="Major"/>
    <x v="31"/>
    <x v="19"/>
    <n v="26"/>
    <x v="15"/>
    <n v="225"/>
    <n v="3.75"/>
    <n v="0"/>
    <n v="3"/>
    <n v="66"/>
  </r>
  <r>
    <s v="Dear Future Husband"/>
    <x v="16"/>
    <x v="0"/>
    <n v="2015"/>
    <n v="671365962"/>
    <x v="1"/>
    <n v="5443"/>
    <x v="62"/>
    <x v="18"/>
    <n v="845"/>
    <x v="37"/>
    <n v="1773"/>
    <n v="46"/>
    <n v="15101"/>
    <n v="375"/>
    <n v="23162"/>
    <x v="62"/>
    <n v="-5"/>
    <s v="Major"/>
    <x v="24"/>
    <x v="19"/>
    <n v="32"/>
    <x v="52"/>
    <n v="184"/>
    <n v="3.0666666666666669"/>
    <n v="38"/>
    <n v="19"/>
    <n v="72"/>
  </r>
  <r>
    <s v="Desire"/>
    <x v="76"/>
    <x v="0"/>
    <n v="2016"/>
    <n v="291709698"/>
    <x v="0"/>
    <n v="2224"/>
    <x v="39"/>
    <x v="38"/>
    <n v="34743"/>
    <x v="35"/>
    <n v="14"/>
    <n v="35"/>
    <n v="22777"/>
    <n v="356"/>
    <n v="59758"/>
    <x v="35"/>
    <n v="-5"/>
    <s v="Major"/>
    <x v="24"/>
    <x v="30"/>
    <n v="30"/>
    <x v="47"/>
    <n v="203"/>
    <n v="3.3833333333333333"/>
    <n v="30"/>
    <n v="6"/>
    <n v="58"/>
  </r>
  <r>
    <s v="Despacito - Remix"/>
    <x v="77"/>
    <x v="23"/>
    <n v="2017"/>
    <n v="939844851"/>
    <x v="1"/>
    <n v="8476"/>
    <x v="102"/>
    <x v="81"/>
    <n v="1308"/>
    <x v="46"/>
    <n v="259"/>
    <n v="26"/>
    <n v="30033"/>
    <n v="226"/>
    <n v="40076"/>
    <x v="63"/>
    <n v="-4"/>
    <s v="Major"/>
    <x v="23"/>
    <x v="34"/>
    <n v="10"/>
    <x v="14"/>
    <n v="229"/>
    <n v="3.8166666666666669"/>
    <n v="23"/>
    <n v="17"/>
    <n v="76"/>
  </r>
  <r>
    <s v="Diamonds"/>
    <x v="21"/>
    <x v="9"/>
    <n v="2012"/>
    <n v="323437194"/>
    <x v="0"/>
    <n v="2528"/>
    <x v="103"/>
    <x v="7"/>
    <n v="7500"/>
    <x v="70"/>
    <n v="395"/>
    <n v="170"/>
    <n v="3799"/>
    <n v="275"/>
    <n v="14222"/>
    <x v="42"/>
    <n v="-5"/>
    <s v="Major"/>
    <x v="0"/>
    <x v="33"/>
    <n v="11"/>
    <x v="65"/>
    <n v="225"/>
    <n v="3.75"/>
    <n v="0"/>
    <n v="5"/>
    <n v="61"/>
  </r>
  <r>
    <s v="Die Young"/>
    <x v="40"/>
    <x v="0"/>
    <n v="2013"/>
    <n v="865640097"/>
    <x v="1"/>
    <n v="7842"/>
    <x v="104"/>
    <x v="13"/>
    <n v="11029"/>
    <x v="13"/>
    <n v="19"/>
    <n v="3"/>
    <n v="23832"/>
    <n v="353"/>
    <n v="42722"/>
    <x v="3"/>
    <n v="-5"/>
    <s v="Major"/>
    <x v="37"/>
    <x v="30"/>
    <n v="22"/>
    <x v="29"/>
    <n v="212"/>
    <n v="3.5333333333333332"/>
    <n v="0"/>
    <n v="5"/>
    <n v="75"/>
  </r>
  <r>
    <s v="DJ Got Us Fallin' In Love (feat. Pitbull)"/>
    <x v="78"/>
    <x v="21"/>
    <n v="2010"/>
    <n v="255932395"/>
    <x v="0"/>
    <n v="1915"/>
    <x v="105"/>
    <x v="78"/>
    <n v="38741"/>
    <x v="71"/>
    <n v="7237"/>
    <n v="129"/>
    <n v="39286"/>
    <n v="224"/>
    <n v="87179"/>
    <x v="7"/>
    <n v="-3"/>
    <s v="Major"/>
    <x v="13"/>
    <x v="19"/>
    <n v="8"/>
    <x v="19"/>
    <n v="221"/>
    <n v="3.6833333333333331"/>
    <n v="3"/>
    <n v="11"/>
    <n v="52"/>
  </r>
  <r>
    <s v="Do You Wanna Come Over?"/>
    <x v="0"/>
    <x v="0"/>
    <n v="2016"/>
    <n v="209106362"/>
    <x v="2"/>
    <n v="1473"/>
    <x v="106"/>
    <x v="2"/>
    <n v="19646"/>
    <x v="2"/>
    <n v="38"/>
    <n v="7"/>
    <n v="10222"/>
    <n v="297"/>
    <n v="31379"/>
    <x v="26"/>
    <n v="-6"/>
    <s v="Minor"/>
    <x v="37"/>
    <x v="1"/>
    <n v="11"/>
    <x v="2"/>
    <n v="203"/>
    <n v="3.3833333333333333"/>
    <n v="1"/>
    <n v="7"/>
    <n v="34"/>
  </r>
  <r>
    <s v="Doesn't Mean Anything"/>
    <x v="79"/>
    <x v="24"/>
    <n v="2010"/>
    <n v="290228626"/>
    <x v="0"/>
    <n v="2186"/>
    <x v="63"/>
    <x v="82"/>
    <n v="35940"/>
    <x v="72"/>
    <n v="2427"/>
    <n v="95"/>
    <n v="12669"/>
    <n v="173"/>
    <n v="53222"/>
    <x v="50"/>
    <n v="-7"/>
    <s v="Major"/>
    <x v="11"/>
    <x v="30"/>
    <n v="10"/>
    <x v="66"/>
    <n v="273"/>
    <n v="4.55"/>
    <n v="4"/>
    <n v="3"/>
    <n v="57"/>
  </r>
  <r>
    <s v="Dog Days Are Over"/>
    <x v="80"/>
    <x v="25"/>
    <n v="2010"/>
    <n v="297328960"/>
    <x v="0"/>
    <n v="2265"/>
    <x v="107"/>
    <x v="83"/>
    <n v="6686"/>
    <x v="73"/>
    <n v="4668"/>
    <n v="117"/>
    <n v="23606"/>
    <n v="107"/>
    <n v="37225"/>
    <x v="28"/>
    <n v="-5"/>
    <s v="Minor"/>
    <x v="36"/>
    <x v="45"/>
    <n v="12"/>
    <x v="6"/>
    <n v="253"/>
    <n v="4.2166666666666668"/>
    <n v="3"/>
    <n v="9"/>
    <n v="58"/>
  </r>
  <r>
    <s v="Domino"/>
    <x v="34"/>
    <x v="12"/>
    <n v="2012"/>
    <n v="513643924"/>
    <x v="1"/>
    <n v="4188"/>
    <x v="108"/>
    <x v="84"/>
    <n v="32534"/>
    <x v="37"/>
    <n v="7889"/>
    <n v="179"/>
    <n v="9911"/>
    <n v="203"/>
    <n v="54522"/>
    <x v="53"/>
    <n v="-5"/>
    <s v="Minor"/>
    <x v="26"/>
    <x v="11"/>
    <n v="4"/>
    <x v="67"/>
    <n v="232"/>
    <n v="3.8666666666666667"/>
    <n v="1"/>
    <n v="3"/>
    <n v="69"/>
  </r>
  <r>
    <s v="Don't"/>
    <x v="26"/>
    <x v="2"/>
    <n v="2015"/>
    <n v="800840817"/>
    <x v="1"/>
    <n v="6955"/>
    <x v="49"/>
    <x v="16"/>
    <n v="28780"/>
    <x v="15"/>
    <n v="33"/>
    <n v="14"/>
    <n v="12052"/>
    <n v="90"/>
    <n v="47820"/>
    <x v="56"/>
    <n v="-7"/>
    <s v="Major"/>
    <x v="3"/>
    <x v="16"/>
    <n v="64"/>
    <x v="68"/>
    <n v="220"/>
    <n v="3.6666666666666665"/>
    <n v="1"/>
    <n v="7"/>
    <n v="74"/>
  </r>
  <r>
    <s v="Don't Be A Fool"/>
    <x v="81"/>
    <x v="11"/>
    <n v="2016"/>
    <n v="370068639"/>
    <x v="0"/>
    <n v="2939"/>
    <x v="109"/>
    <x v="43"/>
    <n v="12756"/>
    <x v="74"/>
    <n v="14"/>
    <n v="36"/>
    <n v="24695"/>
    <n v="265"/>
    <n v="40404"/>
    <x v="64"/>
    <n v="-6"/>
    <s v="Minor"/>
    <x v="45"/>
    <x v="46"/>
    <n v="10"/>
    <x v="42"/>
    <n v="216"/>
    <n v="3.6"/>
    <n v="60"/>
    <n v="4"/>
    <n v="65"/>
  </r>
  <r>
    <s v="Don't Be so Hard on Yourself"/>
    <x v="82"/>
    <x v="0"/>
    <n v="2015"/>
    <n v="246390068"/>
    <x v="2"/>
    <n v="1818"/>
    <x v="110"/>
    <x v="52"/>
    <n v="38773"/>
    <x v="49"/>
    <n v="15"/>
    <n v="29"/>
    <n v="22026"/>
    <n v="10"/>
    <n v="62632"/>
    <x v="7"/>
    <n v="-3"/>
    <s v="Major"/>
    <x v="23"/>
    <x v="47"/>
    <n v="16"/>
    <x v="3"/>
    <n v="211"/>
    <n v="3.5166666666666666"/>
    <n v="6"/>
    <n v="3"/>
    <n v="52"/>
  </r>
  <r>
    <s v="Don't Call Me Up"/>
    <x v="83"/>
    <x v="0"/>
    <n v="2019"/>
    <n v="2282771485"/>
    <x v="3"/>
    <n v="32502"/>
    <x v="42"/>
    <x v="49"/>
    <n v="21005"/>
    <x v="47"/>
    <n v="1535"/>
    <n v="3"/>
    <n v="38258"/>
    <n v="200"/>
    <n v="93300"/>
    <x v="12"/>
    <n v="-3"/>
    <s v="Major"/>
    <x v="8"/>
    <x v="26"/>
    <n v="8"/>
    <x v="38"/>
    <n v="178"/>
    <n v="2.9666666666666668"/>
    <n v="30"/>
    <n v="15"/>
    <n v="86"/>
  </r>
  <r>
    <s v="Don't Let Me Down"/>
    <x v="3"/>
    <x v="1"/>
    <n v="2016"/>
    <n v="1608045237"/>
    <x v="3"/>
    <n v="19664"/>
    <x v="111"/>
    <x v="75"/>
    <n v="21020"/>
    <x v="66"/>
    <n v="50"/>
    <n v="20"/>
    <n v="33013"/>
    <n v="69"/>
    <n v="73747"/>
    <x v="4"/>
    <n v="-5"/>
    <s v="Minor"/>
    <x v="27"/>
    <x v="8"/>
    <n v="14"/>
    <x v="69"/>
    <n v="208"/>
    <n v="3.4666666666666668"/>
    <n v="16"/>
    <n v="17"/>
    <n v="81"/>
  </r>
  <r>
    <s v="Don't Stop the Party (feat. TJR)"/>
    <x v="63"/>
    <x v="0"/>
    <n v="2012"/>
    <n v="302006641"/>
    <x v="0"/>
    <n v="2321"/>
    <x v="75"/>
    <x v="85"/>
    <n v="37647"/>
    <x v="75"/>
    <n v="4044"/>
    <n v="166"/>
    <n v="12504"/>
    <n v="386"/>
    <n v="56516"/>
    <x v="53"/>
    <n v="-4"/>
    <s v="Minor"/>
    <x v="46"/>
    <x v="25"/>
    <n v="38"/>
    <x v="70"/>
    <n v="206"/>
    <n v="3.4333333333333331"/>
    <n v="1"/>
    <n v="9"/>
    <n v="59"/>
  </r>
  <r>
    <s v="Don't You Worry Child - Radio Edit"/>
    <x v="84"/>
    <x v="6"/>
    <n v="2013"/>
    <n v="1252563873"/>
    <x v="3"/>
    <n v="12755"/>
    <x v="112"/>
    <x v="22"/>
    <n v="37084"/>
    <x v="21"/>
    <n v="12"/>
    <n v="10"/>
    <n v="12973"/>
    <n v="83"/>
    <n v="62824"/>
    <x v="43"/>
    <n v="-3"/>
    <s v="Major"/>
    <x v="4"/>
    <x v="42"/>
    <n v="12"/>
    <x v="16"/>
    <n v="213"/>
    <n v="3.55"/>
    <n v="11"/>
    <n v="5"/>
    <n v="78"/>
  </r>
  <r>
    <s v="Downtown (feat. Melle Mel, Grandmaster Caz, Kool Moe Dee &amp; Eric Nally)"/>
    <x v="58"/>
    <x v="0"/>
    <n v="2015"/>
    <n v="553634067"/>
    <x v="1"/>
    <n v="4511"/>
    <x v="113"/>
    <x v="86"/>
    <n v="7252"/>
    <x v="76"/>
    <n v="163"/>
    <n v="2"/>
    <n v="21890"/>
    <n v="328"/>
    <n v="33816"/>
    <x v="41"/>
    <n v="-4"/>
    <s v="Major"/>
    <x v="3"/>
    <x v="39"/>
    <n v="29"/>
    <x v="32"/>
    <n v="293"/>
    <n v="4.8833333333333337"/>
    <n v="9"/>
    <n v="7"/>
    <n v="70"/>
  </r>
  <r>
    <s v="Drip (feat. Migos)"/>
    <x v="45"/>
    <x v="2"/>
    <n v="2018"/>
    <n v="231332117"/>
    <x v="2"/>
    <n v="1612"/>
    <x v="114"/>
    <x v="87"/>
    <n v="6636"/>
    <x v="77"/>
    <n v="7"/>
    <n v="26"/>
    <n v="4493"/>
    <n v="47"/>
    <n v="12748"/>
    <x v="9"/>
    <n v="-8"/>
    <s v="Minor"/>
    <x v="17"/>
    <x v="29"/>
    <n v="8"/>
    <x v="42"/>
    <n v="264"/>
    <n v="4.4000000000000004"/>
    <n v="5"/>
    <n v="26"/>
    <n v="45"/>
  </r>
  <r>
    <s v="Drunk in Love"/>
    <x v="1"/>
    <x v="0"/>
    <n v="2014"/>
    <n v="248511839"/>
    <x v="2"/>
    <n v="1860"/>
    <x v="115"/>
    <x v="52"/>
    <n v="14482"/>
    <x v="49"/>
    <n v="17"/>
    <n v="37"/>
    <n v="38580"/>
    <n v="61"/>
    <n v="54939"/>
    <x v="23"/>
    <n v="-7"/>
    <s v="Minor"/>
    <x v="9"/>
    <x v="18"/>
    <n v="18"/>
    <x v="4"/>
    <n v="323"/>
    <n v="5.3833333333333337"/>
    <n v="1"/>
    <n v="5"/>
    <n v="52"/>
  </r>
  <r>
    <s v="Dusk Till Dawn - Radio Edit"/>
    <x v="85"/>
    <x v="0"/>
    <n v="2018"/>
    <n v="1802514301"/>
    <x v="3"/>
    <n v="22923"/>
    <x v="33"/>
    <x v="88"/>
    <n v="29548"/>
    <x v="78"/>
    <n v="310"/>
    <n v="7"/>
    <n v="37592"/>
    <n v="377"/>
    <n v="90373"/>
    <x v="65"/>
    <n v="-7"/>
    <s v="Minor"/>
    <x v="47"/>
    <x v="48"/>
    <n v="11"/>
    <x v="66"/>
    <n v="239"/>
    <n v="3.9833333333333334"/>
    <n v="10"/>
    <n v="4"/>
    <n v="83"/>
  </r>
  <r>
    <s v="Dynamite"/>
    <x v="52"/>
    <x v="0"/>
    <n v="2010"/>
    <n v="1138474110"/>
    <x v="3"/>
    <n v="10426"/>
    <x v="116"/>
    <x v="89"/>
    <n v="11495"/>
    <x v="14"/>
    <n v="2795"/>
    <n v="106"/>
    <n v="2496"/>
    <n v="234"/>
    <n v="27212"/>
    <x v="7"/>
    <n v="-4"/>
    <s v="Major"/>
    <x v="24"/>
    <x v="1"/>
    <n v="4"/>
    <x v="14"/>
    <n v="203"/>
    <n v="3.3833333333333333"/>
    <n v="0"/>
    <n v="9"/>
    <n v="77"/>
  </r>
  <r>
    <s v="E.T."/>
    <x v="39"/>
    <x v="0"/>
    <n v="2011"/>
    <n v="421135627"/>
    <x v="0"/>
    <n v="3291"/>
    <x v="117"/>
    <x v="90"/>
    <n v="6108"/>
    <x v="16"/>
    <n v="1403"/>
    <n v="147"/>
    <n v="8391"/>
    <n v="146"/>
    <n v="19193"/>
    <x v="21"/>
    <n v="-5"/>
    <s v="Major"/>
    <x v="27"/>
    <x v="41"/>
    <n v="37"/>
    <x v="49"/>
    <n v="230"/>
    <n v="3.8333333333333335"/>
    <n v="2"/>
    <n v="18"/>
    <n v="66"/>
  </r>
  <r>
    <s v="Earned It (Fifty Shades Of Grey) - From The &quot;Fifty Shades Of Grey&quot; Soundtrack"/>
    <x v="86"/>
    <x v="26"/>
    <n v="2015"/>
    <n v="1316855716"/>
    <x v="3"/>
    <n v="14143"/>
    <x v="118"/>
    <x v="91"/>
    <n v="13758"/>
    <x v="67"/>
    <n v="34"/>
    <n v="41"/>
    <n v="30799"/>
    <n v="329"/>
    <n v="58734"/>
    <x v="7"/>
    <n v="-6"/>
    <s v="Minor"/>
    <x v="5"/>
    <x v="19"/>
    <n v="10"/>
    <x v="16"/>
    <n v="252"/>
    <n v="4.2"/>
    <n v="39"/>
    <n v="3"/>
    <n v="79"/>
  </r>
  <r>
    <s v="Easy Love"/>
    <x v="56"/>
    <x v="0"/>
    <n v="2015"/>
    <n v="433356509"/>
    <x v="0"/>
    <n v="3430"/>
    <x v="119"/>
    <x v="63"/>
    <n v="24523"/>
    <x v="56"/>
    <n v="20"/>
    <n v="35"/>
    <n v="4457"/>
    <n v="88"/>
    <n v="32430"/>
    <x v="19"/>
    <n v="-4"/>
    <s v="Minor"/>
    <x v="48"/>
    <x v="2"/>
    <n v="12"/>
    <x v="19"/>
    <n v="230"/>
    <n v="3.8333333333333335"/>
    <n v="18"/>
    <n v="6"/>
    <n v="67"/>
  </r>
  <r>
    <s v="Eenie Meenie"/>
    <x v="87"/>
    <x v="0"/>
    <n v="2010"/>
    <n v="610045621"/>
    <x v="1"/>
    <n v="5073"/>
    <x v="120"/>
    <x v="92"/>
    <n v="11720"/>
    <x v="63"/>
    <n v="3175"/>
    <n v="193"/>
    <n v="28880"/>
    <n v="349"/>
    <n v="48848"/>
    <x v="26"/>
    <n v="-4"/>
    <s v="Major"/>
    <x v="3"/>
    <x v="25"/>
    <n v="11"/>
    <x v="52"/>
    <n v="202"/>
    <n v="3.3666666666666667"/>
    <n v="5"/>
    <n v="3"/>
    <n v="71"/>
  </r>
  <r>
    <s v="Elastic Heart"/>
    <x v="15"/>
    <x v="5"/>
    <n v="2015"/>
    <n v="720825549"/>
    <x v="1"/>
    <n v="6290"/>
    <x v="121"/>
    <x v="93"/>
    <n v="12614"/>
    <x v="75"/>
    <n v="4607"/>
    <n v="1"/>
    <n v="4841"/>
    <n v="138"/>
    <n v="28352"/>
    <x v="9"/>
    <n v="-5"/>
    <s v="Major"/>
    <x v="35"/>
    <x v="13"/>
    <n v="15"/>
    <x v="5"/>
    <n v="257"/>
    <n v="4.2833333333333332"/>
    <n v="1"/>
    <n v="5"/>
    <n v="73"/>
  </r>
  <r>
    <s v="Electric Love"/>
    <x v="88"/>
    <x v="1"/>
    <n v="2016"/>
    <n v="950906471"/>
    <x v="1"/>
    <n v="8506"/>
    <x v="104"/>
    <x v="94"/>
    <n v="13725"/>
    <x v="79"/>
    <n v="30"/>
    <n v="4"/>
    <n v="1371"/>
    <n v="277"/>
    <n v="23632"/>
    <x v="7"/>
    <n v="-8"/>
    <s v="Minor"/>
    <x v="6"/>
    <x v="42"/>
    <n v="26"/>
    <x v="11"/>
    <n v="218"/>
    <n v="3.6333333333333333"/>
    <n v="1"/>
    <n v="5"/>
    <n v="76"/>
  </r>
  <r>
    <s v="Electricity (with Dua Lipa)"/>
    <x v="89"/>
    <x v="27"/>
    <n v="2018"/>
    <n v="1735441776"/>
    <x v="3"/>
    <n v="21811"/>
    <x v="122"/>
    <x v="95"/>
    <n v="8238"/>
    <x v="80"/>
    <n v="439"/>
    <n v="34"/>
    <n v="26531"/>
    <n v="368"/>
    <n v="57019"/>
    <x v="25"/>
    <n v="-6"/>
    <s v="Minor"/>
    <x v="31"/>
    <x v="18"/>
    <n v="34"/>
    <x v="71"/>
    <n v="238"/>
    <n v="3.9666666666666668"/>
    <n v="1"/>
    <n v="5"/>
    <n v="82"/>
  </r>
  <r>
    <s v="Empire State of Mind (Part II) Broken Down"/>
    <x v="79"/>
    <x v="24"/>
    <n v="2010"/>
    <n v="1042568408"/>
    <x v="3"/>
    <n v="9151"/>
    <x v="123"/>
    <x v="96"/>
    <n v="11297"/>
    <x v="81"/>
    <n v="1944"/>
    <n v="130"/>
    <n v="29887"/>
    <n v="334"/>
    <n v="52279"/>
    <x v="31"/>
    <n v="-8"/>
    <s v="Major"/>
    <x v="49"/>
    <x v="23"/>
    <n v="12"/>
    <x v="34"/>
    <n v="216"/>
    <n v="3.6"/>
    <n v="74"/>
    <n v="3"/>
    <n v="76"/>
  </r>
  <r>
    <s v="End Game"/>
    <x v="5"/>
    <x v="2"/>
    <n v="2018"/>
    <n v="532336353"/>
    <x v="1"/>
    <n v="4310"/>
    <x v="48"/>
    <x v="86"/>
    <n v="12301"/>
    <x v="76"/>
    <n v="500"/>
    <n v="46"/>
    <n v="5053"/>
    <n v="253"/>
    <n v="22164"/>
    <x v="66"/>
    <n v="-6"/>
    <s v="Major"/>
    <x v="17"/>
    <x v="34"/>
    <n v="11"/>
    <x v="72"/>
    <n v="245"/>
    <n v="4.083333333333333"/>
    <n v="1"/>
    <n v="6"/>
    <n v="70"/>
  </r>
  <r>
    <s v="Everybody Talks"/>
    <x v="24"/>
    <x v="10"/>
    <n v="2013"/>
    <n v="806397070"/>
    <x v="1"/>
    <n v="7109"/>
    <x v="124"/>
    <x v="23"/>
    <n v="1583"/>
    <x v="22"/>
    <n v="9339"/>
    <n v="7"/>
    <n v="35991"/>
    <n v="77"/>
    <n v="54022"/>
    <x v="67"/>
    <n v="-4"/>
    <s v="Major"/>
    <x v="2"/>
    <x v="46"/>
    <n v="31"/>
    <x v="27"/>
    <n v="177"/>
    <n v="2.95"/>
    <n v="0"/>
    <n v="6"/>
    <n v="74"/>
  </r>
  <r>
    <s v="Familiar"/>
    <x v="90"/>
    <x v="0"/>
    <n v="2018"/>
    <n v="614555082"/>
    <x v="1"/>
    <n v="5129"/>
    <x v="125"/>
    <x v="20"/>
    <n v="5890"/>
    <x v="19"/>
    <n v="584"/>
    <n v="1"/>
    <n v="24575"/>
    <n v="339"/>
    <n v="36178"/>
    <x v="31"/>
    <n v="-5"/>
    <s v="Major"/>
    <x v="36"/>
    <x v="32"/>
    <n v="8"/>
    <x v="24"/>
    <n v="197"/>
    <n v="3.2833333333333332"/>
    <n v="2"/>
    <n v="33"/>
    <n v="72"/>
  </r>
  <r>
    <s v="Fancy"/>
    <x v="91"/>
    <x v="28"/>
    <n v="2014"/>
    <n v="560222750"/>
    <x v="1"/>
    <n v="4564"/>
    <x v="126"/>
    <x v="97"/>
    <n v="3029"/>
    <x v="82"/>
    <n v="2"/>
    <n v="2"/>
    <n v="38463"/>
    <n v="153"/>
    <n v="46058"/>
    <x v="56"/>
    <n v="-4"/>
    <s v="Major"/>
    <x v="33"/>
    <x v="49"/>
    <n v="5"/>
    <x v="25"/>
    <n v="200"/>
    <n v="3.3333333333333335"/>
    <n v="9"/>
    <n v="7"/>
    <n v="70"/>
  </r>
  <r>
    <s v="Feel The Light - From The &quot;Home&quot; Soundtrack"/>
    <x v="13"/>
    <x v="0"/>
    <n v="2015"/>
    <n v="271666301"/>
    <x v="0"/>
    <n v="2000"/>
    <x v="127"/>
    <x v="80"/>
    <n v="22088"/>
    <x v="26"/>
    <n v="19"/>
    <n v="20"/>
    <n v="34780"/>
    <n v="69"/>
    <n v="58887"/>
    <x v="68"/>
    <n v="-6"/>
    <s v="Major"/>
    <x v="19"/>
    <x v="46"/>
    <n v="9"/>
    <x v="73"/>
    <n v="292"/>
    <n v="4.8666666666666663"/>
    <n v="33"/>
    <n v="5"/>
    <n v="55"/>
  </r>
  <r>
    <s v="Feel This Moment (feat. Christina Aguilera)"/>
    <x v="63"/>
    <x v="0"/>
    <n v="2013"/>
    <n v="570515054"/>
    <x v="1"/>
    <n v="4627"/>
    <x v="128"/>
    <x v="13"/>
    <n v="4822"/>
    <x v="13"/>
    <n v="6"/>
    <n v="30"/>
    <n v="14815"/>
    <n v="345"/>
    <n v="24270"/>
    <x v="1"/>
    <n v="-4"/>
    <s v="Minor"/>
    <x v="1"/>
    <x v="26"/>
    <n v="34"/>
    <x v="30"/>
    <n v="230"/>
    <n v="3.8333333333333335"/>
    <n v="4"/>
    <n v="16"/>
    <n v="70"/>
  </r>
  <r>
    <s v="Ferrari"/>
    <x v="92"/>
    <x v="0"/>
    <n v="2018"/>
    <n v="284216603"/>
    <x v="0"/>
    <n v="2098"/>
    <x v="32"/>
    <x v="11"/>
    <n v="16009"/>
    <x v="11"/>
    <n v="90"/>
    <n v="13"/>
    <n v="2167"/>
    <n v="391"/>
    <n v="20364"/>
    <x v="69"/>
    <n v="-6"/>
    <s v="Major"/>
    <x v="50"/>
    <x v="5"/>
    <n v="10"/>
    <x v="69"/>
    <n v="213"/>
    <n v="3.55"/>
    <n v="2"/>
    <n v="3"/>
    <n v="57"/>
  </r>
  <r>
    <s v="Filthy"/>
    <x v="60"/>
    <x v="0"/>
    <n v="2018"/>
    <n v="328207708"/>
    <x v="0"/>
    <n v="2551"/>
    <x v="129"/>
    <x v="34"/>
    <n v="23192"/>
    <x v="32"/>
    <n v="187"/>
    <n v="1"/>
    <n v="5426"/>
    <n v="183"/>
    <n v="31356"/>
    <x v="45"/>
    <n v="-6"/>
    <s v="Minor"/>
    <x v="39"/>
    <x v="1"/>
    <n v="25"/>
    <x v="19"/>
    <n v="294"/>
    <n v="4.9000000000000004"/>
    <n v="4"/>
    <n v="14"/>
    <n v="62"/>
  </r>
  <r>
    <s v="Final Song"/>
    <x v="93"/>
    <x v="0"/>
    <n v="2016"/>
    <n v="629173063"/>
    <x v="1"/>
    <n v="5257"/>
    <x v="14"/>
    <x v="57"/>
    <n v="39879"/>
    <x v="11"/>
    <n v="63"/>
    <n v="42"/>
    <n v="28418"/>
    <n v="178"/>
    <n v="73617"/>
    <x v="70"/>
    <n v="-6"/>
    <s v="Minor"/>
    <x v="31"/>
    <x v="0"/>
    <n v="8"/>
    <x v="10"/>
    <n v="236"/>
    <n v="3.9333333333333331"/>
    <n v="1"/>
    <n v="3"/>
    <n v="72"/>
  </r>
  <r>
    <s v="Finally Found You"/>
    <x v="94"/>
    <x v="0"/>
    <n v="2013"/>
    <n v="252871192"/>
    <x v="0"/>
    <n v="1890"/>
    <x v="130"/>
    <x v="98"/>
    <n v="28973"/>
    <x v="83"/>
    <n v="1056"/>
    <n v="1"/>
    <n v="14225"/>
    <n v="241"/>
    <n v="46144"/>
    <x v="3"/>
    <n v="-5"/>
    <s v="Major"/>
    <x v="8"/>
    <x v="41"/>
    <n v="35"/>
    <x v="3"/>
    <n v="221"/>
    <n v="3.6833333333333331"/>
    <n v="1"/>
    <n v="10"/>
    <n v="52"/>
  </r>
  <r>
    <s v="Find U Again (feat. Camila Cabello)"/>
    <x v="95"/>
    <x v="0"/>
    <n v="2019"/>
    <n v="824420218"/>
    <x v="1"/>
    <n v="7461"/>
    <x v="131"/>
    <x v="84"/>
    <n v="34089"/>
    <x v="84"/>
    <n v="335"/>
    <n v="22"/>
    <n v="23093"/>
    <n v="34"/>
    <n v="64978"/>
    <x v="50"/>
    <n v="-7"/>
    <s v="Major"/>
    <x v="12"/>
    <x v="42"/>
    <n v="20"/>
    <x v="12"/>
    <n v="176"/>
    <n v="2.9333333333333331"/>
    <n v="1"/>
    <n v="3"/>
    <n v="75"/>
  </r>
  <r>
    <s v="Finesse - Remix; feat. Cardi B"/>
    <x v="6"/>
    <x v="2"/>
    <n v="2018"/>
    <n v="1167330737"/>
    <x v="3"/>
    <n v="10829"/>
    <x v="132"/>
    <x v="31"/>
    <n v="21981"/>
    <x v="29"/>
    <n v="298"/>
    <n v="44"/>
    <n v="38421"/>
    <n v="269"/>
    <n v="71529"/>
    <x v="70"/>
    <n v="-5"/>
    <s v="Major"/>
    <x v="13"/>
    <x v="0"/>
    <n v="2"/>
    <x v="58"/>
    <n v="217"/>
    <n v="3.6166666666666667"/>
    <n v="2"/>
    <n v="10"/>
    <n v="78"/>
  </r>
  <r>
    <s v="Fireball (feat. John Ryan)"/>
    <x v="63"/>
    <x v="0"/>
    <n v="2015"/>
    <n v="436027885"/>
    <x v="0"/>
    <n v="3436"/>
    <x v="133"/>
    <x v="29"/>
    <n v="12373"/>
    <x v="65"/>
    <n v="8"/>
    <n v="38"/>
    <n v="8458"/>
    <n v="362"/>
    <n v="24275"/>
    <x v="49"/>
    <n v="-5"/>
    <s v="Major"/>
    <x v="48"/>
    <x v="28"/>
    <n v="5"/>
    <x v="0"/>
    <n v="235"/>
    <n v="3.9166666666666665"/>
    <n v="9"/>
    <n v="6"/>
    <n v="67"/>
  </r>
  <r>
    <s v="Firework"/>
    <x v="39"/>
    <x v="0"/>
    <n v="2011"/>
    <n v="200972675"/>
    <x v="2"/>
    <n v="1401"/>
    <x v="134"/>
    <x v="99"/>
    <n v="22685"/>
    <x v="79"/>
    <n v="8320"/>
    <n v="86"/>
    <n v="19137"/>
    <n v="29"/>
    <n v="51543"/>
    <x v="19"/>
    <n v="-5"/>
    <s v="Minor"/>
    <x v="21"/>
    <x v="32"/>
    <n v="11"/>
    <x v="19"/>
    <n v="228"/>
    <n v="3.8"/>
    <n v="14"/>
    <n v="5"/>
    <n v="25"/>
  </r>
  <r>
    <s v="First Time"/>
    <x v="96"/>
    <x v="27"/>
    <n v="2017"/>
    <n v="583687007"/>
    <x v="1"/>
    <n v="4708"/>
    <x v="135"/>
    <x v="100"/>
    <n v="15678"/>
    <x v="85"/>
    <n v="3425"/>
    <n v="4"/>
    <n v="17649"/>
    <n v="78"/>
    <n v="41460"/>
    <x v="17"/>
    <n v="-7"/>
    <s v="Major"/>
    <x v="17"/>
    <x v="14"/>
    <n v="10"/>
    <x v="74"/>
    <n v="194"/>
    <n v="3.2333333333333334"/>
    <n v="20"/>
    <n v="11"/>
    <n v="71"/>
  </r>
  <r>
    <s v="Focus"/>
    <x v="51"/>
    <x v="0"/>
    <n v="2015"/>
    <n v="404887295"/>
    <x v="0"/>
    <n v="3218"/>
    <x v="31"/>
    <x v="9"/>
    <n v="13965"/>
    <x v="31"/>
    <n v="44"/>
    <n v="26"/>
    <n v="2382"/>
    <n v="300"/>
    <n v="19609"/>
    <x v="13"/>
    <n v="-6"/>
    <s v="Major"/>
    <x v="8"/>
    <x v="26"/>
    <n v="44"/>
    <x v="0"/>
    <n v="211"/>
    <n v="3.5166666666666666"/>
    <n v="27"/>
    <n v="24"/>
    <n v="66"/>
  </r>
  <r>
    <s v="Foolish Games"/>
    <x v="97"/>
    <x v="29"/>
    <n v="2013"/>
    <n v="212234990"/>
    <x v="2"/>
    <n v="1492"/>
    <x v="136"/>
    <x v="101"/>
    <n v="31890"/>
    <x v="73"/>
    <n v="195"/>
    <n v="38"/>
    <n v="17071"/>
    <n v="205"/>
    <n v="50648"/>
    <x v="61"/>
    <n v="-11"/>
    <s v="Major"/>
    <x v="45"/>
    <x v="15"/>
    <n v="12"/>
    <x v="48"/>
    <n v="250"/>
    <n v="4.166666666666667"/>
    <n v="23"/>
    <n v="3"/>
    <n v="36"/>
  </r>
  <r>
    <s v="For You (With Rita Ora)"/>
    <x v="90"/>
    <x v="0"/>
    <n v="2018"/>
    <n v="429829812"/>
    <x v="0"/>
    <n v="3406"/>
    <x v="129"/>
    <x v="35"/>
    <n v="36643"/>
    <x v="33"/>
    <n v="801"/>
    <n v="1"/>
    <n v="38068"/>
    <n v="298"/>
    <n v="78918"/>
    <x v="32"/>
    <n v="-5"/>
    <s v="Minor"/>
    <x v="6"/>
    <x v="50"/>
    <n v="42"/>
    <x v="61"/>
    <n v="243"/>
    <n v="4.05"/>
    <n v="2"/>
    <n v="3"/>
    <n v="67"/>
  </r>
  <r>
    <s v="FourFiveSeconds"/>
    <x v="21"/>
    <x v="9"/>
    <n v="2015"/>
    <n v="1457139296"/>
    <x v="3"/>
    <n v="17115"/>
    <x v="137"/>
    <x v="52"/>
    <n v="14359"/>
    <x v="49"/>
    <n v="6"/>
    <n v="12"/>
    <n v="24945"/>
    <n v="374"/>
    <n v="56425"/>
    <x v="71"/>
    <n v="-6"/>
    <s v="Minor"/>
    <x v="51"/>
    <x v="5"/>
    <n v="13"/>
    <x v="41"/>
    <n v="188"/>
    <n v="3.1333333333333333"/>
    <n v="88"/>
    <n v="5"/>
    <n v="80"/>
  </r>
  <r>
    <s v="Freak"/>
    <x v="98"/>
    <x v="21"/>
    <n v="2013"/>
    <n v="202677468"/>
    <x v="2"/>
    <n v="1430"/>
    <x v="37"/>
    <x v="80"/>
    <n v="34974"/>
    <x v="50"/>
    <n v="2"/>
    <n v="16"/>
    <n v="18583"/>
    <n v="220"/>
    <n v="54989"/>
    <x v="50"/>
    <n v="-5"/>
    <s v="Major"/>
    <x v="24"/>
    <x v="34"/>
    <n v="12"/>
    <x v="2"/>
    <n v="274"/>
    <n v="4.5666666666666664"/>
    <n v="13"/>
    <n v="6"/>
    <n v="28"/>
  </r>
  <r>
    <s v="Free Me"/>
    <x v="15"/>
    <x v="5"/>
    <n v="2017"/>
    <n v="226897599"/>
    <x v="2"/>
    <n v="1597"/>
    <x v="76"/>
    <x v="15"/>
    <n v="36449"/>
    <x v="86"/>
    <n v="93"/>
    <n v="47"/>
    <n v="23076"/>
    <n v="399"/>
    <n v="61215"/>
    <x v="39"/>
    <n v="-4"/>
    <s v="Major"/>
    <x v="52"/>
    <x v="51"/>
    <n v="14"/>
    <x v="75"/>
    <n v="286"/>
    <n v="4.7666666666666666"/>
    <n v="85"/>
    <n v="3"/>
    <n v="44"/>
  </r>
  <r>
    <s v="Friends (with BloodPop®)"/>
    <x v="30"/>
    <x v="11"/>
    <n v="2018"/>
    <n v="1047480053"/>
    <x v="3"/>
    <n v="9243"/>
    <x v="75"/>
    <x v="102"/>
    <n v="7841"/>
    <x v="87"/>
    <n v="398"/>
    <n v="8"/>
    <n v="15805"/>
    <n v="55"/>
    <n v="33287"/>
    <x v="70"/>
    <n v="-5"/>
    <s v="Major"/>
    <x v="32"/>
    <x v="22"/>
    <n v="30"/>
    <x v="60"/>
    <n v="189"/>
    <n v="3.15"/>
    <n v="0"/>
    <n v="4"/>
    <n v="77"/>
  </r>
  <r>
    <s v="G.U.Y."/>
    <x v="14"/>
    <x v="0"/>
    <n v="2014"/>
    <n v="380319238"/>
    <x v="0"/>
    <n v="2959"/>
    <x v="138"/>
    <x v="63"/>
    <n v="28703"/>
    <x v="56"/>
    <n v="3"/>
    <n v="17"/>
    <n v="34186"/>
    <n v="253"/>
    <n v="65851"/>
    <x v="41"/>
    <n v="-3"/>
    <s v="Major"/>
    <x v="2"/>
    <x v="41"/>
    <n v="12"/>
    <x v="55"/>
    <n v="233"/>
    <n v="3.8833333333333333"/>
    <n v="1"/>
    <n v="4"/>
    <n v="65"/>
  </r>
  <r>
    <s v="Genie In a Bottle"/>
    <x v="49"/>
    <x v="0"/>
    <n v="2015"/>
    <n v="656013912"/>
    <x v="1"/>
    <n v="5375"/>
    <x v="139"/>
    <x v="39"/>
    <n v="22897"/>
    <x v="36"/>
    <n v="5"/>
    <n v="21"/>
    <n v="14765"/>
    <n v="156"/>
    <n v="43042"/>
    <x v="72"/>
    <n v="-7"/>
    <s v="Major"/>
    <x v="6"/>
    <x v="14"/>
    <n v="14"/>
    <x v="24"/>
    <n v="218"/>
    <n v="3.6333333333333333"/>
    <n v="21"/>
    <n v="16"/>
    <n v="72"/>
  </r>
  <r>
    <s v="Get Low (with Liam Payne)"/>
    <x v="65"/>
    <x v="22"/>
    <n v="2017"/>
    <n v="403097450"/>
    <x v="0"/>
    <n v="3107"/>
    <x v="140"/>
    <x v="57"/>
    <n v="25904"/>
    <x v="13"/>
    <n v="806"/>
    <n v="39"/>
    <n v="1874"/>
    <n v="117"/>
    <n v="31691"/>
    <x v="29"/>
    <n v="-4"/>
    <s v="Major"/>
    <x v="40"/>
    <x v="25"/>
    <n v="5"/>
    <x v="30"/>
    <n v="205"/>
    <n v="3.4166666666666665"/>
    <n v="3"/>
    <n v="5"/>
    <n v="66"/>
  </r>
  <r>
    <s v="Get Lucky (feat. Pharrell Williams &amp; Nile Rodgers) - Radio Edit"/>
    <x v="99"/>
    <x v="30"/>
    <n v="2013"/>
    <n v="1127468248"/>
    <x v="3"/>
    <n v="10195"/>
    <x v="141"/>
    <x v="81"/>
    <n v="34753"/>
    <x v="46"/>
    <n v="93"/>
    <n v="1"/>
    <n v="28542"/>
    <n v="252"/>
    <n v="73583"/>
    <x v="48"/>
    <n v="-9"/>
    <s v="Major"/>
    <x v="36"/>
    <x v="3"/>
    <n v="10"/>
    <x v="36"/>
    <n v="248"/>
    <n v="4.1333333333333337"/>
    <n v="4"/>
    <n v="4"/>
    <n v="77"/>
  </r>
  <r>
    <s v="Ghosttown"/>
    <x v="100"/>
    <x v="0"/>
    <n v="2015"/>
    <n v="263894529"/>
    <x v="0"/>
    <n v="1959"/>
    <x v="142"/>
    <x v="103"/>
    <n v="17675"/>
    <x v="67"/>
    <n v="7"/>
    <n v="43"/>
    <n v="17382"/>
    <n v="29"/>
    <n v="37023"/>
    <x v="62"/>
    <n v="-7"/>
    <s v="Minor"/>
    <x v="26"/>
    <x v="50"/>
    <n v="12"/>
    <x v="76"/>
    <n v="250"/>
    <n v="4.166666666666667"/>
    <n v="4"/>
    <n v="4"/>
    <n v="54"/>
  </r>
  <r>
    <s v="Giant (with Rag'n'Bone Man)"/>
    <x v="41"/>
    <x v="0"/>
    <n v="2019"/>
    <n v="1887039593"/>
    <x v="3"/>
    <n v="25065"/>
    <x v="143"/>
    <x v="104"/>
    <n v="33544"/>
    <x v="88"/>
    <n v="2453"/>
    <n v="45"/>
    <n v="13590"/>
    <n v="186"/>
    <n v="74652"/>
    <x v="47"/>
    <n v="-4"/>
    <s v="Major"/>
    <x v="53"/>
    <x v="16"/>
    <n v="8"/>
    <x v="31"/>
    <n v="229"/>
    <n v="3.8166666666666669"/>
    <n v="2"/>
    <n v="4"/>
    <n v="84"/>
  </r>
  <r>
    <s v="Girl On Fire (feat. Nicki Minaj) - Inferno Version"/>
    <x v="79"/>
    <x v="24"/>
    <n v="2013"/>
    <n v="301869854"/>
    <x v="0"/>
    <n v="2313"/>
    <x v="144"/>
    <x v="57"/>
    <n v="16671"/>
    <x v="52"/>
    <n v="4"/>
    <n v="24"/>
    <n v="37148"/>
    <n v="205"/>
    <n v="56136"/>
    <x v="31"/>
    <n v="-6"/>
    <s v="Major"/>
    <x v="36"/>
    <x v="12"/>
    <n v="15"/>
    <x v="9"/>
    <n v="271"/>
    <n v="4.5166666666666666"/>
    <n v="9"/>
    <n v="31"/>
    <n v="59"/>
  </r>
  <r>
    <s v="Girls (feat. Cardi B, Bebe Rexha &amp; Charli XCX)"/>
    <x v="28"/>
    <x v="0"/>
    <n v="2018"/>
    <n v="354495408"/>
    <x v="0"/>
    <n v="2780"/>
    <x v="145"/>
    <x v="31"/>
    <n v="18312"/>
    <x v="29"/>
    <n v="55"/>
    <n v="28"/>
    <n v="28774"/>
    <n v="210"/>
    <n v="49921"/>
    <x v="57"/>
    <n v="-4"/>
    <s v="Major"/>
    <x v="34"/>
    <x v="17"/>
    <n v="10"/>
    <x v="69"/>
    <n v="221"/>
    <n v="3.6833333333333331"/>
    <n v="2"/>
    <n v="5"/>
    <n v="64"/>
  </r>
  <r>
    <s v="Girls Like You (feat. Cardi B)"/>
    <x v="25"/>
    <x v="2"/>
    <n v="2019"/>
    <n v="1591223784"/>
    <x v="3"/>
    <n v="18515"/>
    <x v="146"/>
    <x v="87"/>
    <n v="15386"/>
    <x v="77"/>
    <n v="569"/>
    <n v="3"/>
    <n v="33238"/>
    <n v="330"/>
    <n v="67708"/>
    <x v="10"/>
    <n v="-7"/>
    <s v="Major"/>
    <x v="42"/>
    <x v="36"/>
    <n v="13"/>
    <x v="2"/>
    <n v="236"/>
    <n v="3.9333333333333331"/>
    <n v="57"/>
    <n v="5"/>
    <n v="81"/>
  </r>
  <r>
    <s v="Give It 2 U"/>
    <x v="44"/>
    <x v="0"/>
    <n v="2013"/>
    <n v="223064273"/>
    <x v="2"/>
    <n v="1550"/>
    <x v="147"/>
    <x v="16"/>
    <n v="27529"/>
    <x v="15"/>
    <n v="6"/>
    <n v="36"/>
    <n v="14903"/>
    <n v="222"/>
    <n v="43988"/>
    <x v="53"/>
    <n v="-4"/>
    <s v="Major"/>
    <x v="21"/>
    <x v="26"/>
    <n v="16"/>
    <x v="46"/>
    <n v="230"/>
    <n v="3.8333333333333335"/>
    <n v="10"/>
    <n v="7"/>
    <n v="41"/>
  </r>
  <r>
    <s v="Give Me Everything"/>
    <x v="63"/>
    <x v="0"/>
    <n v="2011"/>
    <n v="1374581173"/>
    <x v="3"/>
    <n v="15010"/>
    <x v="148"/>
    <x v="105"/>
    <n v="39461"/>
    <x v="85"/>
    <n v="5935"/>
    <n v="104"/>
    <n v="16897"/>
    <n v="272"/>
    <n v="77303"/>
    <x v="43"/>
    <n v="-3"/>
    <s v="Minor"/>
    <x v="48"/>
    <x v="26"/>
    <n v="30"/>
    <x v="8"/>
    <n v="252"/>
    <n v="4.2"/>
    <n v="19"/>
    <n v="16"/>
    <n v="79"/>
  </r>
  <r>
    <s v="Glad You Came"/>
    <x v="101"/>
    <x v="15"/>
    <n v="2012"/>
    <n v="682475162"/>
    <x v="1"/>
    <n v="5866"/>
    <x v="149"/>
    <x v="106"/>
    <n v="31689"/>
    <x v="85"/>
    <n v="5154"/>
    <n v="92"/>
    <n v="16460"/>
    <n v="230"/>
    <n v="59169"/>
    <x v="53"/>
    <n v="-4"/>
    <s v="Major"/>
    <x v="41"/>
    <x v="25"/>
    <n v="11"/>
    <x v="2"/>
    <n v="198"/>
    <n v="3.3"/>
    <n v="3"/>
    <n v="6"/>
    <n v="72"/>
  </r>
  <r>
    <s v="Good as Hell (feat. Ariana Grande) - Remix"/>
    <x v="102"/>
    <x v="2"/>
    <n v="2019"/>
    <n v="2565529693"/>
    <x v="3"/>
    <n v="41231"/>
    <x v="20"/>
    <x v="107"/>
    <n v="12556"/>
    <x v="89"/>
    <n v="447"/>
    <n v="38"/>
    <n v="39811"/>
    <n v="52"/>
    <n v="94045"/>
    <x v="73"/>
    <n v="-3"/>
    <s v="Major"/>
    <x v="53"/>
    <x v="26"/>
    <n v="74"/>
    <x v="21"/>
    <n v="159"/>
    <n v="2.65"/>
    <n v="30"/>
    <n v="6"/>
    <n v="90"/>
  </r>
  <r>
    <s v="Good Life"/>
    <x v="20"/>
    <x v="0"/>
    <n v="2011"/>
    <n v="684675814"/>
    <x v="1"/>
    <n v="5871"/>
    <x v="150"/>
    <x v="108"/>
    <n v="19585"/>
    <x v="12"/>
    <n v="450"/>
    <n v="74"/>
    <n v="7281"/>
    <n v="355"/>
    <n v="33187"/>
    <x v="56"/>
    <n v="-8"/>
    <s v="Major"/>
    <x v="34"/>
    <x v="14"/>
    <n v="13"/>
    <x v="19"/>
    <n v="253"/>
    <n v="4.2166666666666668"/>
    <n v="8"/>
    <n v="5"/>
    <n v="72"/>
  </r>
  <r>
    <s v="Good Time"/>
    <x v="103"/>
    <x v="2"/>
    <n v="2012"/>
    <n v="726434358"/>
    <x v="1"/>
    <n v="6457"/>
    <x v="4"/>
    <x v="95"/>
    <n v="16712"/>
    <x v="32"/>
    <n v="7153"/>
    <n v="134"/>
    <n v="38329"/>
    <n v="72"/>
    <n v="68651"/>
    <x v="35"/>
    <n v="-4"/>
    <s v="Minor"/>
    <x v="27"/>
    <x v="33"/>
    <n v="37"/>
    <x v="74"/>
    <n v="206"/>
    <n v="3.4333333333333331"/>
    <n v="2"/>
    <n v="14"/>
    <n v="73"/>
  </r>
  <r>
    <s v="Gorilla"/>
    <x v="6"/>
    <x v="2"/>
    <n v="2014"/>
    <n v="467727006"/>
    <x v="0"/>
    <n v="3682"/>
    <x v="151"/>
    <x v="22"/>
    <n v="2008"/>
    <x v="21"/>
    <n v="24"/>
    <n v="1"/>
    <n v="20669"/>
    <n v="361"/>
    <n v="26383"/>
    <x v="23"/>
    <n v="-7"/>
    <s v="Major"/>
    <x v="42"/>
    <x v="25"/>
    <n v="10"/>
    <x v="47"/>
    <n v="244"/>
    <n v="4.0666666666666664"/>
    <n v="45"/>
    <n v="4"/>
    <n v="68"/>
  </r>
  <r>
    <s v="Greenlight (feat. Flo Rida &amp; LunchMoney Lewis)"/>
    <x v="63"/>
    <x v="0"/>
    <n v="2017"/>
    <n v="261414174"/>
    <x v="0"/>
    <n v="1945"/>
    <x v="152"/>
    <x v="13"/>
    <n v="15630"/>
    <x v="13"/>
    <n v="70"/>
    <n v="24"/>
    <n v="31604"/>
    <n v="7"/>
    <n v="49249"/>
    <x v="59"/>
    <n v="-6"/>
    <s v="Major"/>
    <x v="21"/>
    <x v="0"/>
    <n v="36"/>
    <x v="7"/>
    <n v="245"/>
    <n v="4.083333333333333"/>
    <n v="28"/>
    <n v="27"/>
    <n v="54"/>
  </r>
  <r>
    <s v="Grenade"/>
    <x v="6"/>
    <x v="2"/>
    <n v="2011"/>
    <n v="887906111"/>
    <x v="1"/>
    <n v="7963"/>
    <x v="51"/>
    <x v="54"/>
    <n v="33212"/>
    <x v="82"/>
    <n v="6369"/>
    <n v="184"/>
    <n v="6629"/>
    <n v="176"/>
    <n v="54173"/>
    <x v="41"/>
    <n v="-7"/>
    <s v="Minor"/>
    <x v="54"/>
    <x v="30"/>
    <n v="12"/>
    <x v="38"/>
    <n v="223"/>
    <n v="3.7166666666666668"/>
    <n v="15"/>
    <n v="6"/>
    <n v="75"/>
  </r>
  <r>
    <s v="Hall of Fame"/>
    <x v="104"/>
    <x v="31"/>
    <n v="2013"/>
    <n v="1479115056"/>
    <x v="3"/>
    <n v="17354"/>
    <x v="153"/>
    <x v="14"/>
    <n v="6519"/>
    <x v="14"/>
    <n v="64"/>
    <n v="47"/>
    <n v="20636"/>
    <n v="232"/>
    <n v="44573"/>
    <x v="58"/>
    <n v="-4"/>
    <s v="Minor"/>
    <x v="27"/>
    <x v="13"/>
    <n v="12"/>
    <x v="7"/>
    <n v="203"/>
    <n v="3.3833333333333333"/>
    <n v="7"/>
    <n v="6"/>
    <n v="80"/>
  </r>
  <r>
    <s v="Hands To Myself"/>
    <x v="33"/>
    <x v="0"/>
    <n v="2016"/>
    <n v="595900742"/>
    <x v="1"/>
    <n v="4827"/>
    <x v="154"/>
    <x v="5"/>
    <n v="12542"/>
    <x v="5"/>
    <n v="13"/>
    <n v="4"/>
    <n v="25162"/>
    <n v="270"/>
    <n v="42544"/>
    <x v="74"/>
    <n v="-7"/>
    <s v="Minor"/>
    <x v="55"/>
    <x v="16"/>
    <n v="34"/>
    <x v="59"/>
    <n v="201"/>
    <n v="3.35"/>
    <n v="1"/>
    <n v="12"/>
    <n v="71"/>
  </r>
  <r>
    <s v="Happier"/>
    <x v="105"/>
    <x v="32"/>
    <n v="2019"/>
    <n v="2594040133"/>
    <x v="3"/>
    <n v="42798"/>
    <x v="20"/>
    <x v="29"/>
    <n v="21464"/>
    <x v="16"/>
    <n v="1785"/>
    <n v="1"/>
    <n v="30322"/>
    <n v="221"/>
    <n v="96369"/>
    <x v="13"/>
    <n v="-3"/>
    <s v="Major"/>
    <x v="35"/>
    <x v="28"/>
    <n v="17"/>
    <x v="77"/>
    <n v="214"/>
    <n v="3.5666666666666669"/>
    <n v="19"/>
    <n v="5"/>
    <n v="90"/>
  </r>
  <r>
    <s v="Happy - From &quot;Despicable Me 2&quot;"/>
    <x v="69"/>
    <x v="0"/>
    <n v="2014"/>
    <n v="1356565093"/>
    <x v="3"/>
    <n v="14417"/>
    <x v="155"/>
    <x v="109"/>
    <n v="4995"/>
    <x v="90"/>
    <n v="30"/>
    <n v="30"/>
    <n v="15988"/>
    <n v="290"/>
    <n v="35430"/>
    <x v="4"/>
    <n v="-5"/>
    <s v="Minor"/>
    <x v="23"/>
    <x v="34"/>
    <n v="9"/>
    <x v="17"/>
    <n v="233"/>
    <n v="3.8833333333333333"/>
    <n v="22"/>
    <n v="18"/>
    <n v="79"/>
  </r>
  <r>
    <s v="Hard"/>
    <x v="21"/>
    <x v="9"/>
    <n v="2010"/>
    <n v="288101651"/>
    <x v="0"/>
    <n v="2175"/>
    <x v="156"/>
    <x v="110"/>
    <n v="18489"/>
    <x v="91"/>
    <n v="9442"/>
    <n v="127"/>
    <n v="3313"/>
    <n v="384"/>
    <n v="33419"/>
    <x v="75"/>
    <n v="-4"/>
    <s v="Minor"/>
    <x v="18"/>
    <x v="52"/>
    <n v="65"/>
    <x v="12"/>
    <n v="251"/>
    <n v="4.1833333333333336"/>
    <n v="1"/>
    <n v="11"/>
    <n v="57"/>
  </r>
  <r>
    <s v="Havana (feat. Young Thug)"/>
    <x v="74"/>
    <x v="0"/>
    <n v="2018"/>
    <n v="2197010679"/>
    <x v="3"/>
    <n v="30992"/>
    <x v="157"/>
    <x v="94"/>
    <n v="23390"/>
    <x v="79"/>
    <n v="1370"/>
    <n v="2"/>
    <n v="25788"/>
    <n v="176"/>
    <n v="81540"/>
    <x v="70"/>
    <n v="-4"/>
    <s v="Minor"/>
    <x v="30"/>
    <x v="9"/>
    <n v="13"/>
    <x v="65"/>
    <n v="217"/>
    <n v="3.6166666666666667"/>
    <n v="18"/>
    <n v="3"/>
    <n v="85"/>
  </r>
  <r>
    <s v="Heart Attack"/>
    <x v="46"/>
    <x v="0"/>
    <n v="2013"/>
    <n v="972509632"/>
    <x v="1"/>
    <n v="8612"/>
    <x v="158"/>
    <x v="111"/>
    <n v="7665"/>
    <x v="57"/>
    <n v="18"/>
    <n v="16"/>
    <n v="38670"/>
    <n v="392"/>
    <n v="54965"/>
    <x v="54"/>
    <n v="-5"/>
    <s v="Minor"/>
    <x v="35"/>
    <x v="45"/>
    <n v="24"/>
    <x v="5"/>
    <n v="211"/>
    <n v="3.5166666666666666"/>
    <n v="7"/>
    <n v="10"/>
    <n v="76"/>
  </r>
  <r>
    <s v="Heartbeat Song"/>
    <x v="106"/>
    <x v="0"/>
    <n v="2015"/>
    <n v="502574952"/>
    <x v="1"/>
    <n v="4091"/>
    <x v="159"/>
    <x v="110"/>
    <n v="17661"/>
    <x v="92"/>
    <n v="37"/>
    <n v="1"/>
    <n v="7044"/>
    <n v="400"/>
    <n v="28833"/>
    <x v="76"/>
    <n v="-4"/>
    <s v="Minor"/>
    <x v="6"/>
    <x v="53"/>
    <n v="6"/>
    <x v="21"/>
    <n v="199"/>
    <n v="3.3166666666666669"/>
    <n v="1"/>
    <n v="5"/>
    <n v="69"/>
  </r>
  <r>
    <s v="Heartbreaker"/>
    <x v="30"/>
    <x v="11"/>
    <n v="2013"/>
    <n v="322336177"/>
    <x v="0"/>
    <n v="2499"/>
    <x v="160"/>
    <x v="16"/>
    <n v="263"/>
    <x v="15"/>
    <n v="13"/>
    <n v="14"/>
    <n v="17718"/>
    <n v="145"/>
    <n v="20493"/>
    <x v="70"/>
    <n v="-7"/>
    <s v="Minor"/>
    <x v="30"/>
    <x v="33"/>
    <n v="34"/>
    <x v="46"/>
    <n v="263"/>
    <n v="4.3833333333333337"/>
    <n v="14"/>
    <n v="10"/>
    <n v="61"/>
  </r>
  <r>
    <s v="Hello"/>
    <x v="18"/>
    <x v="7"/>
    <n v="2015"/>
    <n v="3916591492"/>
    <x v="3"/>
    <n v="62170"/>
    <x v="161"/>
    <x v="57"/>
    <n v="62025"/>
    <x v="49"/>
    <n v="12692"/>
    <n v="3"/>
    <n v="74320"/>
    <n v="6"/>
    <n v="211207"/>
    <x v="77"/>
    <n v="-6"/>
    <s v="Major"/>
    <x v="25"/>
    <x v="23"/>
    <n v="9"/>
    <x v="51"/>
    <n v="295"/>
    <n v="4.916666666666667"/>
    <n v="34"/>
    <n v="3"/>
    <n v="73"/>
  </r>
  <r>
    <s v="Here"/>
    <x v="107"/>
    <x v="26"/>
    <n v="2015"/>
    <n v="462791599"/>
    <x v="0"/>
    <n v="3618"/>
    <x v="49"/>
    <x v="112"/>
    <n v="24877"/>
    <x v="9"/>
    <n v="12"/>
    <n v="46"/>
    <n v="11568"/>
    <n v="2"/>
    <n v="40075"/>
    <x v="7"/>
    <n v="-4"/>
    <s v="Major"/>
    <x v="23"/>
    <x v="54"/>
    <n v="8"/>
    <x v="18"/>
    <n v="199"/>
    <n v="3.3166666666666669"/>
    <n v="8"/>
    <n v="10"/>
    <n v="68"/>
  </r>
  <r>
    <s v="Heroes (we could be)"/>
    <x v="108"/>
    <x v="6"/>
    <n v="2015"/>
    <n v="273194684"/>
    <x v="0"/>
    <n v="2019"/>
    <x v="162"/>
    <x v="102"/>
    <n v="29799"/>
    <x v="40"/>
    <n v="5"/>
    <n v="49"/>
    <n v="15480"/>
    <n v="342"/>
    <n v="47303"/>
    <x v="35"/>
    <n v="-4"/>
    <s v="Major"/>
    <x v="18"/>
    <x v="55"/>
    <n v="24"/>
    <x v="41"/>
    <n v="210"/>
    <n v="3.5"/>
    <n v="4"/>
    <n v="6"/>
    <n v="56"/>
  </r>
  <r>
    <s v="Hey Brother"/>
    <x v="53"/>
    <x v="6"/>
    <n v="2014"/>
    <n v="1230855859"/>
    <x v="3"/>
    <n v="12482"/>
    <x v="75"/>
    <x v="103"/>
    <n v="12166"/>
    <x v="93"/>
    <n v="15"/>
    <n v="20"/>
    <n v="10083"/>
    <n v="260"/>
    <n v="34746"/>
    <x v="10"/>
    <n v="-5"/>
    <s v="Major"/>
    <x v="24"/>
    <x v="12"/>
    <n v="8"/>
    <x v="45"/>
    <n v="255"/>
    <n v="4.25"/>
    <n v="3"/>
    <n v="4"/>
    <n v="78"/>
  </r>
  <r>
    <s v="Hey Mama (feat. Nicki Minaj, Bebe Rexha &amp; Afrojack)"/>
    <x v="7"/>
    <x v="0"/>
    <n v="2015"/>
    <n v="657723613"/>
    <x v="1"/>
    <n v="5398"/>
    <x v="163"/>
    <x v="63"/>
    <n v="13376"/>
    <x v="56"/>
    <n v="22"/>
    <n v="1"/>
    <n v="7111"/>
    <n v="121"/>
    <n v="25907"/>
    <x v="30"/>
    <n v="-4"/>
    <s v="Major"/>
    <x v="32"/>
    <x v="31"/>
    <n v="33"/>
    <x v="8"/>
    <n v="193"/>
    <n v="3.2166666666666668"/>
    <n v="24"/>
    <n v="15"/>
    <n v="72"/>
  </r>
  <r>
    <s v="Hey, Soul Sister"/>
    <x v="109"/>
    <x v="8"/>
    <n v="2010"/>
    <n v="1858144199"/>
    <x v="3"/>
    <n v="24529"/>
    <x v="164"/>
    <x v="113"/>
    <n v="8845"/>
    <x v="43"/>
    <n v="1593"/>
    <n v="107"/>
    <n v="9751"/>
    <n v="139"/>
    <n v="44718"/>
    <x v="45"/>
    <n v="-4"/>
    <s v="Major"/>
    <x v="53"/>
    <x v="26"/>
    <n v="8"/>
    <x v="29"/>
    <n v="217"/>
    <n v="3.6166666666666667"/>
    <n v="19"/>
    <n v="4"/>
    <n v="83"/>
  </r>
  <r>
    <s v="Higher"/>
    <x v="55"/>
    <x v="11"/>
    <n v="2016"/>
    <n v="233671263"/>
    <x v="2"/>
    <n v="1635"/>
    <x v="165"/>
    <x v="34"/>
    <n v="11188"/>
    <x v="84"/>
    <n v="3"/>
    <n v="25"/>
    <n v="2278"/>
    <n v="357"/>
    <n v="15104"/>
    <x v="37"/>
    <n v="-5"/>
    <s v="Major"/>
    <x v="27"/>
    <x v="34"/>
    <n v="37"/>
    <x v="16"/>
    <n v="234"/>
    <n v="3.9"/>
    <n v="1"/>
    <n v="6"/>
    <n v="46"/>
  </r>
  <r>
    <s v="Higher Love"/>
    <x v="96"/>
    <x v="27"/>
    <n v="2019"/>
    <n v="2557975762"/>
    <x v="3"/>
    <n v="36843"/>
    <x v="20"/>
    <x v="63"/>
    <n v="5620"/>
    <x v="59"/>
    <n v="862"/>
    <n v="46"/>
    <n v="11811"/>
    <n v="149"/>
    <n v="55136"/>
    <x v="50"/>
    <n v="-7"/>
    <s v="Minor"/>
    <x v="10"/>
    <x v="28"/>
    <n v="10"/>
    <x v="4"/>
    <n v="228"/>
    <n v="3.8"/>
    <n v="2"/>
    <n v="3"/>
    <n v="88"/>
  </r>
  <r>
    <s v="Him &amp; I (with Halsey)"/>
    <x v="110"/>
    <x v="24"/>
    <n v="2018"/>
    <n v="1159176109"/>
    <x v="3"/>
    <n v="10585"/>
    <x v="28"/>
    <x v="2"/>
    <n v="15763"/>
    <x v="2"/>
    <n v="575"/>
    <n v="18"/>
    <n v="17337"/>
    <n v="52"/>
    <n v="44260"/>
    <x v="78"/>
    <n v="-6"/>
    <s v="Minor"/>
    <x v="32"/>
    <x v="18"/>
    <n v="31"/>
    <x v="78"/>
    <n v="269"/>
    <n v="4.4833333333333334"/>
    <n v="5"/>
    <n v="9"/>
    <n v="78"/>
  </r>
  <r>
    <s v="Hold It Against Me"/>
    <x v="0"/>
    <x v="0"/>
    <n v="2011"/>
    <n v="303236322"/>
    <x v="0"/>
    <n v="2335"/>
    <x v="166"/>
    <x v="114"/>
    <n v="33350"/>
    <x v="23"/>
    <n v="188"/>
    <n v="183"/>
    <n v="19092"/>
    <n v="192"/>
    <n v="54965"/>
    <x v="79"/>
    <n v="-5"/>
    <s v="Minor"/>
    <x v="33"/>
    <x v="34"/>
    <n v="24"/>
    <x v="65"/>
    <n v="229"/>
    <n v="3.8166666666666669"/>
    <n v="1"/>
    <n v="4"/>
    <n v="59"/>
  </r>
  <r>
    <s v="Hold On, We're Going Home"/>
    <x v="111"/>
    <x v="33"/>
    <n v="2013"/>
    <n v="726307468"/>
    <x v="1"/>
    <n v="6398"/>
    <x v="96"/>
    <x v="52"/>
    <n v="19017"/>
    <x v="49"/>
    <n v="7"/>
    <n v="34"/>
    <n v="8421"/>
    <n v="104"/>
    <n v="33843"/>
    <x v="13"/>
    <n v="-7"/>
    <s v="Minor"/>
    <x v="11"/>
    <x v="9"/>
    <n v="7"/>
    <x v="51"/>
    <n v="228"/>
    <n v="3.8"/>
    <n v="0"/>
    <n v="10"/>
    <n v="73"/>
  </r>
  <r>
    <s v="How Deep Is Your Love"/>
    <x v="41"/>
    <x v="0"/>
    <n v="2015"/>
    <n v="1065580332"/>
    <x v="3"/>
    <n v="9539"/>
    <x v="99"/>
    <x v="75"/>
    <n v="3666"/>
    <x v="38"/>
    <n v="14"/>
    <n v="8"/>
    <n v="7095"/>
    <n v="24"/>
    <n v="20314"/>
    <x v="47"/>
    <n v="-4"/>
    <s v="Major"/>
    <x v="27"/>
    <x v="22"/>
    <n v="39"/>
    <x v="9"/>
    <n v="213"/>
    <n v="3.55"/>
    <n v="4"/>
    <n v="7"/>
    <n v="77"/>
  </r>
  <r>
    <s v="How Do You Sleep?"/>
    <x v="112"/>
    <x v="2"/>
    <n v="2019"/>
    <n v="2808096550"/>
    <x v="3"/>
    <n v="44927"/>
    <x v="167"/>
    <x v="115"/>
    <n v="7204"/>
    <x v="94"/>
    <n v="6508"/>
    <n v="1"/>
    <n v="34808"/>
    <n v="244"/>
    <n v="93447"/>
    <x v="74"/>
    <n v="-5"/>
    <s v="Major"/>
    <x v="10"/>
    <x v="23"/>
    <n v="8"/>
    <x v="41"/>
    <n v="202"/>
    <n v="3.3666666666666667"/>
    <n v="15"/>
    <n v="9"/>
    <n v="93"/>
  </r>
  <r>
    <s v="How Far I'll Go - From &quot;Moana&quot;"/>
    <x v="107"/>
    <x v="26"/>
    <n v="2017"/>
    <n v="582863434"/>
    <x v="1"/>
    <n v="4657"/>
    <x v="154"/>
    <x v="116"/>
    <n v="24508"/>
    <x v="8"/>
    <n v="44"/>
    <n v="24"/>
    <n v="27579"/>
    <n v="268"/>
    <n v="56788"/>
    <x v="80"/>
    <n v="-10"/>
    <s v="Major"/>
    <x v="42"/>
    <x v="52"/>
    <n v="7"/>
    <x v="12"/>
    <n v="176"/>
    <n v="2.9333333333333331"/>
    <n v="16"/>
    <n v="35"/>
    <n v="71"/>
  </r>
  <r>
    <s v="How Ya Doin'? (feat. Missy Elliott)"/>
    <x v="113"/>
    <x v="0"/>
    <n v="2013"/>
    <n v="244790012"/>
    <x v="2"/>
    <n v="1776"/>
    <x v="83"/>
    <x v="11"/>
    <n v="1307"/>
    <x v="64"/>
    <n v="7"/>
    <n v="31"/>
    <n v="28498"/>
    <n v="63"/>
    <n v="31588"/>
    <x v="81"/>
    <n v="-3"/>
    <s v="Major"/>
    <x v="16"/>
    <x v="56"/>
    <n v="37"/>
    <x v="71"/>
    <n v="211"/>
    <n v="3.5166666666666666"/>
    <n v="9"/>
    <n v="48"/>
    <n v="50"/>
  </r>
  <r>
    <s v="human"/>
    <x v="11"/>
    <x v="0"/>
    <n v="2014"/>
    <n v="466231982"/>
    <x v="0"/>
    <n v="3681"/>
    <x v="6"/>
    <x v="77"/>
    <n v="39054"/>
    <x v="21"/>
    <n v="22"/>
    <n v="24"/>
    <n v="14735"/>
    <n v="196"/>
    <n v="57492"/>
    <x v="82"/>
    <n v="-6"/>
    <s v="Minor"/>
    <x v="56"/>
    <x v="57"/>
    <n v="11"/>
    <x v="10"/>
    <n v="251"/>
    <n v="4.1833333333333336"/>
    <n v="13"/>
    <n v="4"/>
    <n v="68"/>
  </r>
  <r>
    <s v="Hurts"/>
    <x v="66"/>
    <x v="0"/>
    <n v="2016"/>
    <n v="284819874"/>
    <x v="0"/>
    <n v="2114"/>
    <x v="168"/>
    <x v="63"/>
    <n v="22611"/>
    <x v="56"/>
    <n v="44"/>
    <n v="21"/>
    <n v="36362"/>
    <n v="349"/>
    <n v="61131"/>
    <x v="40"/>
    <n v="-8"/>
    <s v="Minor"/>
    <x v="57"/>
    <x v="5"/>
    <n v="15"/>
    <x v="61"/>
    <n v="238"/>
    <n v="3.9666666666666668"/>
    <n v="2"/>
    <n v="3"/>
    <n v="57"/>
  </r>
  <r>
    <s v="I Dont Wanna Live Forever (Fifty Shades Darker)"/>
    <x v="85"/>
    <x v="0"/>
    <n v="2017"/>
    <n v="1180094974"/>
    <x v="3"/>
    <n v="11215"/>
    <x v="102"/>
    <x v="102"/>
    <n v="17990"/>
    <x v="87"/>
    <n v="250"/>
    <n v="41"/>
    <n v="9708"/>
    <n v="91"/>
    <n v="39163"/>
    <x v="25"/>
    <n v="-8"/>
    <s v="Minor"/>
    <x v="25"/>
    <x v="22"/>
    <n v="33"/>
    <x v="76"/>
    <n v="245"/>
    <n v="4.083333333333333"/>
    <n v="6"/>
    <n v="6"/>
    <n v="78"/>
  </r>
  <r>
    <s v="I Don't Care (with Justin Bieber)"/>
    <x v="26"/>
    <x v="2"/>
    <n v="2019"/>
    <n v="2135158446"/>
    <x v="3"/>
    <n v="29536"/>
    <x v="157"/>
    <x v="117"/>
    <n v="21363"/>
    <x v="95"/>
    <n v="3595"/>
    <n v="6"/>
    <n v="39887"/>
    <n v="85"/>
    <n v="94381"/>
    <x v="38"/>
    <n v="-5"/>
    <s v="Major"/>
    <x v="10"/>
    <x v="4"/>
    <n v="9"/>
    <x v="40"/>
    <n v="220"/>
    <n v="3.6666666666666665"/>
    <n v="9"/>
    <n v="4"/>
    <n v="85"/>
  </r>
  <r>
    <s v="I Feel It Coming"/>
    <x v="86"/>
    <x v="26"/>
    <n v="2017"/>
    <n v="1605224506"/>
    <x v="3"/>
    <n v="18986"/>
    <x v="155"/>
    <x v="16"/>
    <n v="38199"/>
    <x v="52"/>
    <n v="113"/>
    <n v="1"/>
    <n v="2631"/>
    <n v="282"/>
    <n v="59929"/>
    <x v="31"/>
    <n v="-6"/>
    <s v="Minor"/>
    <x v="23"/>
    <x v="9"/>
    <n v="7"/>
    <x v="33"/>
    <n v="269"/>
    <n v="4.4833333333333334"/>
    <n v="43"/>
    <n v="12"/>
    <n v="81"/>
  </r>
  <r>
    <s v="I Got You"/>
    <x v="92"/>
    <x v="0"/>
    <n v="2016"/>
    <n v="356709897"/>
    <x v="0"/>
    <n v="2790"/>
    <x v="169"/>
    <x v="118"/>
    <n v="34115"/>
    <x v="96"/>
    <n v="394"/>
    <n v="40"/>
    <n v="1650"/>
    <n v="114"/>
    <n v="38949"/>
    <x v="33"/>
    <n v="-5"/>
    <s v="Major"/>
    <x v="53"/>
    <x v="42"/>
    <n v="9"/>
    <x v="26"/>
    <n v="192"/>
    <n v="3.2"/>
    <n v="5"/>
    <n v="5"/>
    <n v="64"/>
  </r>
  <r>
    <s v="I Knew You Were Trouble."/>
    <x v="5"/>
    <x v="2"/>
    <n v="2012"/>
    <n v="1131090940"/>
    <x v="3"/>
    <n v="10211"/>
    <x v="34"/>
    <x v="119"/>
    <n v="23871"/>
    <x v="25"/>
    <n v="595"/>
    <n v="101"/>
    <n v="19812"/>
    <n v="149"/>
    <n v="54489"/>
    <x v="69"/>
    <n v="-7"/>
    <s v="Major"/>
    <x v="7"/>
    <x v="41"/>
    <n v="3"/>
    <x v="74"/>
    <n v="220"/>
    <n v="3.6666666666666665"/>
    <n v="0"/>
    <n v="4"/>
    <n v="77"/>
  </r>
  <r>
    <s v="I Know What You Did Last Summer"/>
    <x v="81"/>
    <x v="11"/>
    <n v="2016"/>
    <n v="286400165"/>
    <x v="0"/>
    <n v="2128"/>
    <x v="70"/>
    <x v="52"/>
    <n v="38400"/>
    <x v="49"/>
    <n v="28"/>
    <n v="38"/>
    <n v="32181"/>
    <n v="90"/>
    <n v="72737"/>
    <x v="37"/>
    <n v="-5"/>
    <s v="Major"/>
    <x v="58"/>
    <x v="2"/>
    <n v="16"/>
    <x v="54"/>
    <n v="224"/>
    <n v="3.7333333333333334"/>
    <n v="11"/>
    <n v="10"/>
    <n v="57"/>
  </r>
  <r>
    <s v="I Like It"/>
    <x v="45"/>
    <x v="2"/>
    <n v="2018"/>
    <n v="2159346687"/>
    <x v="3"/>
    <n v="30427"/>
    <x v="157"/>
    <x v="85"/>
    <n v="21332"/>
    <x v="65"/>
    <n v="549"/>
    <n v="34"/>
    <n v="15241"/>
    <n v="220"/>
    <n v="67549"/>
    <x v="1"/>
    <n v="-4"/>
    <s v="Minor"/>
    <x v="32"/>
    <x v="7"/>
    <n v="37"/>
    <x v="19"/>
    <n v="253"/>
    <n v="4.2166666666666668"/>
    <n v="10"/>
    <n v="13"/>
    <n v="85"/>
  </r>
  <r>
    <s v="I Like It"/>
    <x v="94"/>
    <x v="0"/>
    <n v="2010"/>
    <n v="350381515"/>
    <x v="0"/>
    <n v="2729"/>
    <x v="170"/>
    <x v="120"/>
    <n v="11946"/>
    <x v="46"/>
    <n v="5996"/>
    <n v="147"/>
    <n v="34466"/>
    <n v="240"/>
    <n v="55137"/>
    <x v="43"/>
    <n v="-3"/>
    <s v="Major"/>
    <x v="48"/>
    <x v="34"/>
    <n v="6"/>
    <x v="27"/>
    <n v="231"/>
    <n v="3.85"/>
    <n v="2"/>
    <n v="9"/>
    <n v="63"/>
  </r>
  <r>
    <s v="I Lived"/>
    <x v="20"/>
    <x v="0"/>
    <n v="2015"/>
    <n v="436695353"/>
    <x v="0"/>
    <n v="3444"/>
    <x v="105"/>
    <x v="47"/>
    <n v="27112"/>
    <x v="44"/>
    <n v="2"/>
    <n v="14"/>
    <n v="19801"/>
    <n v="3"/>
    <n v="50359"/>
    <x v="7"/>
    <n v="-5"/>
    <s v="Major"/>
    <x v="41"/>
    <x v="18"/>
    <n v="27"/>
    <x v="9"/>
    <n v="235"/>
    <n v="3.9166666666666665"/>
    <n v="7"/>
    <n v="4"/>
    <n v="67"/>
  </r>
  <r>
    <s v="I Love It (feat. Charli XCX)"/>
    <x v="114"/>
    <x v="17"/>
    <n v="2013"/>
    <n v="448500832"/>
    <x v="0"/>
    <n v="3506"/>
    <x v="171"/>
    <x v="97"/>
    <n v="2312"/>
    <x v="97"/>
    <n v="12"/>
    <n v="34"/>
    <n v="7601"/>
    <n v="41"/>
    <n v="13431"/>
    <x v="35"/>
    <n v="-3"/>
    <s v="Major"/>
    <x v="43"/>
    <x v="30"/>
    <n v="15"/>
    <x v="14"/>
    <n v="157"/>
    <n v="2.6166666666666667"/>
    <n v="1"/>
    <n v="3"/>
    <n v="67"/>
  </r>
  <r>
    <s v="I Luh Ya Papi"/>
    <x v="13"/>
    <x v="0"/>
    <n v="2014"/>
    <n v="202452860"/>
    <x v="2"/>
    <n v="1420"/>
    <x v="172"/>
    <x v="121"/>
    <n v="18278"/>
    <x v="98"/>
    <n v="23"/>
    <n v="45"/>
    <n v="1541"/>
    <n v="360"/>
    <n v="21262"/>
    <x v="73"/>
    <n v="-6"/>
    <s v="Major"/>
    <x v="32"/>
    <x v="22"/>
    <n v="12"/>
    <x v="33"/>
    <n v="207"/>
    <n v="3.45"/>
    <n v="45"/>
    <n v="42"/>
    <n v="28"/>
  </r>
  <r>
    <s v="I Really Like You"/>
    <x v="55"/>
    <x v="11"/>
    <n v="2015"/>
    <n v="411747614"/>
    <x v="0"/>
    <n v="3246"/>
    <x v="173"/>
    <x v="122"/>
    <n v="36020"/>
    <x v="63"/>
    <n v="8"/>
    <n v="1"/>
    <n v="2962"/>
    <n v="115"/>
    <n v="42236"/>
    <x v="47"/>
    <n v="-5"/>
    <s v="Minor"/>
    <x v="36"/>
    <x v="41"/>
    <n v="22"/>
    <x v="64"/>
    <n v="205"/>
    <n v="3.4166666666666665"/>
    <n v="1"/>
    <n v="4"/>
    <n v="66"/>
  </r>
  <r>
    <s v="I Took A Pill In Ibiza - Seeb Remix"/>
    <x v="72"/>
    <x v="0"/>
    <n v="2016"/>
    <n v="1214083358"/>
    <x v="3"/>
    <n v="12043"/>
    <x v="116"/>
    <x v="57"/>
    <n v="29430"/>
    <x v="52"/>
    <n v="248"/>
    <n v="1"/>
    <n v="38699"/>
    <n v="322"/>
    <n v="80420"/>
    <x v="38"/>
    <n v="-7"/>
    <s v="Major"/>
    <x v="0"/>
    <x v="19"/>
    <n v="8"/>
    <x v="37"/>
    <n v="198"/>
    <n v="3.3"/>
    <n v="4"/>
    <n v="11"/>
    <n v="78"/>
  </r>
  <r>
    <s v="I Wanna Go"/>
    <x v="0"/>
    <x v="0"/>
    <n v="2011"/>
    <n v="366214458"/>
    <x v="0"/>
    <n v="2868"/>
    <x v="73"/>
    <x v="3"/>
    <n v="26722"/>
    <x v="43"/>
    <n v="2052"/>
    <n v="170"/>
    <n v="39758"/>
    <n v="115"/>
    <n v="71400"/>
    <x v="9"/>
    <n v="-7"/>
    <s v="Major"/>
    <x v="26"/>
    <x v="0"/>
    <n v="33"/>
    <x v="0"/>
    <n v="210"/>
    <n v="3.5"/>
    <n v="0"/>
    <n v="4"/>
    <n v="64"/>
  </r>
  <r>
    <s v="I Want You To Know"/>
    <x v="65"/>
    <x v="22"/>
    <n v="2015"/>
    <n v="466214729"/>
    <x v="0"/>
    <n v="3659"/>
    <x v="63"/>
    <x v="20"/>
    <n v="13913"/>
    <x v="16"/>
    <n v="3"/>
    <n v="33"/>
    <n v="17338"/>
    <n v="215"/>
    <n v="34913"/>
    <x v="9"/>
    <n v="-3"/>
    <s v="Minor"/>
    <x v="41"/>
    <x v="5"/>
    <n v="14"/>
    <x v="15"/>
    <n v="240"/>
    <n v="4"/>
    <n v="1"/>
    <n v="6"/>
    <n v="68"/>
  </r>
  <r>
    <s v="IDGAF"/>
    <x v="115"/>
    <x v="0"/>
    <n v="2018"/>
    <n v="1929770265"/>
    <x v="3"/>
    <n v="25744"/>
    <x v="174"/>
    <x v="123"/>
    <n v="20770"/>
    <x v="31"/>
    <n v="65"/>
    <n v="26"/>
    <n v="14345"/>
    <n v="29"/>
    <n v="60924"/>
    <x v="45"/>
    <n v="-6"/>
    <s v="Major"/>
    <x v="42"/>
    <x v="58"/>
    <n v="8"/>
    <x v="71"/>
    <n v="218"/>
    <n v="3.6333333333333333"/>
    <n v="4"/>
    <n v="9"/>
    <n v="84"/>
  </r>
  <r>
    <s v="If I Had You"/>
    <x v="116"/>
    <x v="12"/>
    <n v="2010"/>
    <n v="304118600"/>
    <x v="0"/>
    <n v="2346"/>
    <x v="149"/>
    <x v="124"/>
    <n v="28135"/>
    <x v="43"/>
    <n v="9918"/>
    <n v="102"/>
    <n v="3820"/>
    <n v="11"/>
    <n v="44219"/>
    <x v="83"/>
    <n v="-4"/>
    <s v="Major"/>
    <x v="43"/>
    <x v="34"/>
    <n v="37"/>
    <x v="0"/>
    <n v="228"/>
    <n v="3.8"/>
    <n v="1"/>
    <n v="11"/>
    <n v="59"/>
  </r>
  <r>
    <s v="If I Lose Myself - Alesso vs OneRepublic"/>
    <x v="20"/>
    <x v="0"/>
    <n v="2013"/>
    <n v="506778838"/>
    <x v="1"/>
    <n v="4096"/>
    <x v="56"/>
    <x v="125"/>
    <n v="12349"/>
    <x v="99"/>
    <n v="2445"/>
    <n v="1"/>
    <n v="37773"/>
    <n v="377"/>
    <n v="56663"/>
    <x v="35"/>
    <n v="-6"/>
    <s v="Major"/>
    <x v="18"/>
    <x v="55"/>
    <n v="14"/>
    <x v="12"/>
    <n v="215"/>
    <n v="3.5833333333333335"/>
    <n v="26"/>
    <n v="4"/>
    <n v="69"/>
  </r>
  <r>
    <s v="I'll Show You"/>
    <x v="30"/>
    <x v="11"/>
    <n v="2015"/>
    <n v="463564958"/>
    <x v="0"/>
    <n v="3643"/>
    <x v="175"/>
    <x v="25"/>
    <n v="4381"/>
    <x v="24"/>
    <n v="14"/>
    <n v="34"/>
    <n v="23914"/>
    <n v="80"/>
    <n v="31952"/>
    <x v="84"/>
    <n v="-7"/>
    <s v="Minor"/>
    <x v="3"/>
    <x v="56"/>
    <n v="18"/>
    <x v="79"/>
    <n v="200"/>
    <n v="3.3333333333333335"/>
    <n v="5"/>
    <n v="10"/>
    <n v="68"/>
  </r>
  <r>
    <s v="I'm Into You"/>
    <x v="13"/>
    <x v="0"/>
    <n v="2011"/>
    <n v="303216294"/>
    <x v="0"/>
    <n v="2332"/>
    <x v="176"/>
    <x v="126"/>
    <n v="13246"/>
    <x v="73"/>
    <n v="8548"/>
    <n v="171"/>
    <n v="33940"/>
    <n v="160"/>
    <n v="58066"/>
    <x v="34"/>
    <n v="-4"/>
    <s v="Major"/>
    <x v="18"/>
    <x v="18"/>
    <n v="8"/>
    <x v="57"/>
    <n v="200"/>
    <n v="3.3333333333333335"/>
    <n v="2"/>
    <n v="14"/>
    <n v="59"/>
  </r>
  <r>
    <s v="I'm Not The Only One"/>
    <x v="112"/>
    <x v="2"/>
    <n v="2015"/>
    <n v="2123309722"/>
    <x v="3"/>
    <n v="29215"/>
    <x v="177"/>
    <x v="102"/>
    <n v="22496"/>
    <x v="87"/>
    <n v="36"/>
    <n v="16"/>
    <n v="5179"/>
    <n v="62"/>
    <n v="56926"/>
    <x v="55"/>
    <n v="-6"/>
    <s v="Major"/>
    <x v="56"/>
    <x v="2"/>
    <n v="8"/>
    <x v="39"/>
    <n v="239"/>
    <n v="3.9833333333333334"/>
    <n v="53"/>
    <n v="4"/>
    <n v="84"/>
  </r>
  <r>
    <s v="I'm the One (feat. Justin Bieber, Quavo, Chance the Rapper &amp; Lil Wayne)"/>
    <x v="117"/>
    <x v="0"/>
    <n v="2017"/>
    <n v="1061966512"/>
    <x v="3"/>
    <n v="9408"/>
    <x v="178"/>
    <x v="16"/>
    <n v="14184"/>
    <x v="15"/>
    <n v="73"/>
    <n v="13"/>
    <n v="21081"/>
    <n v="315"/>
    <n v="44746"/>
    <x v="85"/>
    <n v="-4"/>
    <s v="Major"/>
    <x v="31"/>
    <x v="42"/>
    <n v="17"/>
    <x v="43"/>
    <n v="289"/>
    <n v="4.8166666666666664"/>
    <n v="6"/>
    <n v="4"/>
    <n v="77"/>
  </r>
  <r>
    <s v="Imma Be"/>
    <x v="118"/>
    <x v="0"/>
    <n v="2010"/>
    <n v="335222234"/>
    <x v="0"/>
    <n v="2598"/>
    <x v="179"/>
    <x v="87"/>
    <n v="33884"/>
    <x v="28"/>
    <n v="1962"/>
    <n v="88"/>
    <n v="10728"/>
    <n v="338"/>
    <n v="49172"/>
    <x v="42"/>
    <n v="-7"/>
    <s v="Major"/>
    <x v="30"/>
    <x v="31"/>
    <n v="31"/>
    <x v="62"/>
    <n v="258"/>
    <n v="4.3"/>
    <n v="18"/>
    <n v="37"/>
    <n v="62"/>
  </r>
  <r>
    <s v="Impossible"/>
    <x v="119"/>
    <x v="2"/>
    <n v="2013"/>
    <n v="1116995633"/>
    <x v="3"/>
    <n v="10114"/>
    <x v="180"/>
    <x v="91"/>
    <n v="22898"/>
    <x v="67"/>
    <n v="4076"/>
    <n v="44"/>
    <n v="31168"/>
    <n v="311"/>
    <n v="68256"/>
    <x v="86"/>
    <n v="-5"/>
    <s v="Major"/>
    <x v="37"/>
    <x v="54"/>
    <n v="11"/>
    <x v="20"/>
    <n v="209"/>
    <n v="3.4833333333333334"/>
    <n v="14"/>
    <n v="9"/>
    <n v="77"/>
  </r>
  <r>
    <s v="In My Blood"/>
    <x v="81"/>
    <x v="11"/>
    <n v="2018"/>
    <n v="1813673666"/>
    <x v="3"/>
    <n v="23389"/>
    <x v="33"/>
    <x v="127"/>
    <n v="38046"/>
    <x v="50"/>
    <n v="259"/>
    <n v="14"/>
    <n v="38937"/>
    <n v="98"/>
    <n v="100631"/>
    <x v="23"/>
    <n v="-7"/>
    <s v="Minor"/>
    <x v="0"/>
    <x v="41"/>
    <n v="13"/>
    <x v="39"/>
    <n v="211"/>
    <n v="3.5166666666666666"/>
    <n v="6"/>
    <n v="7"/>
    <n v="83"/>
  </r>
  <r>
    <s v="In the Name of Love"/>
    <x v="120"/>
    <x v="6"/>
    <n v="2016"/>
    <n v="1606986953"/>
    <x v="3"/>
    <n v="19067"/>
    <x v="181"/>
    <x v="47"/>
    <n v="30993"/>
    <x v="44"/>
    <n v="12"/>
    <n v="18"/>
    <n v="13229"/>
    <n v="133"/>
    <n v="63301"/>
    <x v="14"/>
    <n v="-6"/>
    <s v="Major"/>
    <x v="30"/>
    <x v="45"/>
    <n v="45"/>
    <x v="80"/>
    <n v="196"/>
    <n v="3.2666666666666666"/>
    <n v="11"/>
    <n v="4"/>
    <n v="81"/>
  </r>
  <r>
    <s v="Influence"/>
    <x v="71"/>
    <x v="0"/>
    <n v="2017"/>
    <n v="261286503"/>
    <x v="0"/>
    <n v="1936"/>
    <x v="182"/>
    <x v="128"/>
    <n v="16202"/>
    <x v="100"/>
    <n v="61"/>
    <n v="7"/>
    <n v="7209"/>
    <n v="73"/>
    <n v="25408"/>
    <x v="70"/>
    <n v="-10"/>
    <s v="Minor"/>
    <x v="17"/>
    <x v="9"/>
    <n v="11"/>
    <x v="18"/>
    <n v="225"/>
    <n v="3.75"/>
    <n v="10"/>
    <n v="5"/>
    <n v="54"/>
  </r>
  <r>
    <s v="International Love"/>
    <x v="63"/>
    <x v="0"/>
    <n v="2012"/>
    <n v="677389855"/>
    <x v="1"/>
    <n v="5728"/>
    <x v="183"/>
    <x v="129"/>
    <n v="14791"/>
    <x v="57"/>
    <n v="763"/>
    <n v="78"/>
    <n v="39552"/>
    <n v="49"/>
    <n v="60834"/>
    <x v="7"/>
    <n v="-3"/>
    <s v="Major"/>
    <x v="13"/>
    <x v="26"/>
    <n v="34"/>
    <x v="19"/>
    <n v="227"/>
    <n v="3.7833333333333332"/>
    <n v="1"/>
    <n v="5"/>
    <n v="72"/>
  </r>
  <r>
    <s v="Into You"/>
    <x v="51"/>
    <x v="0"/>
    <n v="2016"/>
    <n v="1456081449"/>
    <x v="3"/>
    <n v="17050"/>
    <x v="184"/>
    <x v="130"/>
    <n v="9424"/>
    <x v="101"/>
    <n v="1145"/>
    <n v="2"/>
    <n v="20893"/>
    <n v="273"/>
    <n v="48512"/>
    <x v="29"/>
    <n v="-6"/>
    <s v="Major"/>
    <x v="32"/>
    <x v="41"/>
    <n v="14"/>
    <x v="15"/>
    <n v="244"/>
    <n v="4.0666666666666664"/>
    <n v="2"/>
    <n v="11"/>
    <n v="80"/>
  </r>
  <r>
    <s v="Invading My Mind"/>
    <x v="13"/>
    <x v="0"/>
    <n v="2011"/>
    <n v="207033255"/>
    <x v="2"/>
    <n v="1456"/>
    <x v="24"/>
    <x v="124"/>
    <n v="7503"/>
    <x v="16"/>
    <n v="8243"/>
    <n v="74"/>
    <n v="5126"/>
    <n v="2"/>
    <n v="22328"/>
    <x v="43"/>
    <n v="-4"/>
    <s v="Minor"/>
    <x v="8"/>
    <x v="17"/>
    <n v="32"/>
    <x v="37"/>
    <n v="201"/>
    <n v="3.35"/>
    <n v="2"/>
    <n v="7"/>
    <n v="31"/>
  </r>
  <r>
    <s v="Invitation"/>
    <x v="0"/>
    <x v="0"/>
    <n v="2016"/>
    <n v="227918678"/>
    <x v="2"/>
    <n v="1601"/>
    <x v="185"/>
    <x v="89"/>
    <n v="941"/>
    <x v="102"/>
    <n v="355"/>
    <n v="7"/>
    <n v="36246"/>
    <n v="157"/>
    <n v="39143"/>
    <x v="87"/>
    <n v="-7"/>
    <s v="Minor"/>
    <x v="29"/>
    <x v="59"/>
    <n v="9"/>
    <x v="12"/>
    <n v="200"/>
    <n v="3.3333333333333335"/>
    <n v="3"/>
    <n v="11"/>
    <n v="44"/>
  </r>
  <r>
    <s v="It Ain't Me (with Selena Gomez)"/>
    <x v="96"/>
    <x v="27"/>
    <n v="2017"/>
    <n v="1284942608"/>
    <x v="3"/>
    <n v="13387"/>
    <x v="186"/>
    <x v="118"/>
    <n v="38578"/>
    <x v="96"/>
    <n v="1282"/>
    <n v="24"/>
    <n v="36788"/>
    <n v="210"/>
    <n v="90035"/>
    <x v="13"/>
    <n v="-7"/>
    <s v="Minor"/>
    <x v="20"/>
    <x v="32"/>
    <n v="9"/>
    <x v="11"/>
    <n v="221"/>
    <n v="3.6833333333333331"/>
    <n v="12"/>
    <n v="7"/>
    <n v="79"/>
  </r>
  <r>
    <s v="It Will Rain"/>
    <x v="6"/>
    <x v="2"/>
    <n v="2012"/>
    <n v="217672943"/>
    <x v="2"/>
    <n v="1507"/>
    <x v="97"/>
    <x v="79"/>
    <n v="36267"/>
    <x v="64"/>
    <n v="7964"/>
    <n v="126"/>
    <n v="13464"/>
    <n v="68"/>
    <n v="59202"/>
    <x v="28"/>
    <n v="-7"/>
    <s v="Major"/>
    <x v="4"/>
    <x v="5"/>
    <n v="8"/>
    <x v="21"/>
    <n v="258"/>
    <n v="4.3"/>
    <n v="34"/>
    <n v="5"/>
    <n v="96"/>
  </r>
  <r>
    <s v="It's On Again - Main Soundtrack"/>
    <x v="79"/>
    <x v="24"/>
    <n v="2014"/>
    <n v="203680270"/>
    <x v="2"/>
    <n v="1446"/>
    <x v="86"/>
    <x v="131"/>
    <n v="28827"/>
    <x v="103"/>
    <n v="1078"/>
    <n v="2"/>
    <n v="29552"/>
    <n v="325"/>
    <n v="60903"/>
    <x v="41"/>
    <n v="-9"/>
    <s v="Minor"/>
    <x v="42"/>
    <x v="32"/>
    <n v="25"/>
    <x v="8"/>
    <n v="230"/>
    <n v="3.8333333333333335"/>
    <n v="10"/>
    <n v="11"/>
    <n v="92"/>
  </r>
  <r>
    <s v="Jar of Hearts"/>
    <x v="11"/>
    <x v="0"/>
    <n v="2011"/>
    <n v="244891912"/>
    <x v="2"/>
    <n v="1783"/>
    <x v="165"/>
    <x v="132"/>
    <n v="25333"/>
    <x v="25"/>
    <n v="3586"/>
    <n v="134"/>
    <n v="24998"/>
    <n v="120"/>
    <n v="55700"/>
    <x v="88"/>
    <n v="-6"/>
    <s v="Minor"/>
    <x v="59"/>
    <x v="60"/>
    <n v="12"/>
    <x v="76"/>
    <n v="247"/>
    <n v="4.1166666666666663"/>
    <n v="73"/>
    <n v="3"/>
    <n v="85"/>
  </r>
  <r>
    <s v="Jealous - Remix"/>
    <x v="64"/>
    <x v="0"/>
    <n v="2015"/>
    <n v="556585270"/>
    <x v="1"/>
    <n v="4531"/>
    <x v="187"/>
    <x v="133"/>
    <n v="10277"/>
    <x v="104"/>
    <n v="2969"/>
    <n v="10"/>
    <n v="30520"/>
    <n v="165"/>
    <n v="48297"/>
    <x v="31"/>
    <n v="-4"/>
    <s v="Minor"/>
    <x v="0"/>
    <x v="2"/>
    <n v="44"/>
    <x v="2"/>
    <n v="222"/>
    <n v="3.7"/>
    <n v="1"/>
    <n v="8"/>
    <n v="81"/>
  </r>
  <r>
    <s v="Judas"/>
    <x v="14"/>
    <x v="0"/>
    <n v="2011"/>
    <n v="349585590"/>
    <x v="0"/>
    <n v="2699"/>
    <x v="172"/>
    <x v="134"/>
    <n v="6489"/>
    <x v="28"/>
    <n v="6698"/>
    <n v="109"/>
    <n v="30892"/>
    <n v="258"/>
    <n v="46778"/>
    <x v="83"/>
    <n v="-4"/>
    <s v="Major"/>
    <x v="40"/>
    <x v="19"/>
    <n v="27"/>
    <x v="8"/>
    <n v="249"/>
    <n v="4.1500000000000004"/>
    <n v="0"/>
    <n v="7"/>
    <n v="66"/>
  </r>
  <r>
    <s v="Just Cant Get Enough"/>
    <x v="118"/>
    <x v="0"/>
    <n v="2011"/>
    <n v="609293408"/>
    <x v="1"/>
    <n v="4999"/>
    <x v="188"/>
    <x v="104"/>
    <n v="8211"/>
    <x v="93"/>
    <n v="5671"/>
    <n v="185"/>
    <n v="24166"/>
    <n v="4"/>
    <n v="43047"/>
    <x v="57"/>
    <n v="-9"/>
    <s v="Minor"/>
    <x v="60"/>
    <x v="19"/>
    <n v="11"/>
    <x v="6"/>
    <n v="219"/>
    <n v="3.65"/>
    <n v="19"/>
    <n v="18"/>
    <n v="83"/>
  </r>
  <r>
    <s v="Just Give Me a Reason (feat. Nate Ruess)"/>
    <x v="42"/>
    <x v="0"/>
    <n v="2013"/>
    <n v="1661187319"/>
    <x v="3"/>
    <n v="20763"/>
    <x v="13"/>
    <x v="38"/>
    <n v="780"/>
    <x v="35"/>
    <n v="14"/>
    <n v="22"/>
    <n v="34429"/>
    <n v="271"/>
    <n v="55986"/>
    <x v="56"/>
    <n v="-7"/>
    <s v="Major"/>
    <x v="26"/>
    <x v="27"/>
    <n v="13"/>
    <x v="16"/>
    <n v="243"/>
    <n v="4.05"/>
    <n v="35"/>
    <n v="5"/>
    <n v="84"/>
  </r>
  <r>
    <s v="Just Like Fire (From the Original Motion Picture &quot;Alice Through The Looking Glass&quot;)"/>
    <x v="42"/>
    <x v="0"/>
    <n v="2016"/>
    <n v="593917618"/>
    <x v="1"/>
    <n v="4779"/>
    <x v="106"/>
    <x v="47"/>
    <n v="23975"/>
    <x v="44"/>
    <n v="43"/>
    <n v="17"/>
    <n v="14774"/>
    <n v="331"/>
    <n v="43571"/>
    <x v="89"/>
    <n v="-6"/>
    <s v="Major"/>
    <x v="37"/>
    <x v="14"/>
    <n v="11"/>
    <x v="5"/>
    <n v="215"/>
    <n v="3.5833333333333335"/>
    <n v="1"/>
    <n v="15"/>
    <n v="77"/>
  </r>
  <r>
    <s v="Just the Way You Are"/>
    <x v="6"/>
    <x v="2"/>
    <n v="2010"/>
    <n v="1271293243"/>
    <x v="3"/>
    <n v="13101"/>
    <x v="118"/>
    <x v="17"/>
    <n v="28559"/>
    <x v="91"/>
    <n v="7212"/>
    <n v="79"/>
    <n v="24863"/>
    <n v="166"/>
    <n v="73735"/>
    <x v="60"/>
    <n v="-5"/>
    <s v="Minor"/>
    <x v="4"/>
    <x v="32"/>
    <n v="9"/>
    <x v="63"/>
    <n v="221"/>
    <n v="3.6833333333333331"/>
    <n v="2"/>
    <n v="4"/>
    <n v="90"/>
  </r>
  <r>
    <s v="Keeping Your Head Up"/>
    <x v="121"/>
    <x v="8"/>
    <n v="2016"/>
    <n v="246376690"/>
    <x v="2"/>
    <n v="1801"/>
    <x v="189"/>
    <x v="94"/>
    <n v="38843"/>
    <x v="44"/>
    <n v="3"/>
    <n v="17"/>
    <n v="20555"/>
    <n v="375"/>
    <n v="61202"/>
    <x v="47"/>
    <n v="-5"/>
    <s v="Major"/>
    <x v="24"/>
    <x v="31"/>
    <n v="19"/>
    <x v="8"/>
    <n v="208"/>
    <n v="3.4666666666666668"/>
    <n v="16"/>
    <n v="5"/>
    <n v="52"/>
  </r>
  <r>
    <s v="Kill Em With Kindness"/>
    <x v="33"/>
    <x v="0"/>
    <n v="2016"/>
    <n v="546191065"/>
    <x v="1"/>
    <n v="4440"/>
    <x v="190"/>
    <x v="52"/>
    <n v="35993"/>
    <x v="49"/>
    <n v="19"/>
    <n v="27"/>
    <n v="34018"/>
    <n v="257"/>
    <n v="74470"/>
    <x v="7"/>
    <n v="-5"/>
    <s v="Minor"/>
    <x v="8"/>
    <x v="11"/>
    <n v="10"/>
    <x v="4"/>
    <n v="218"/>
    <n v="3.6333333333333333"/>
    <n v="1"/>
    <n v="4"/>
    <n v="70"/>
  </r>
  <r>
    <s v="Kills You Slowly"/>
    <x v="3"/>
    <x v="1"/>
    <n v="2019"/>
    <n v="426204830"/>
    <x v="0"/>
    <n v="3301"/>
    <x v="39"/>
    <x v="20"/>
    <n v="17158"/>
    <x v="19"/>
    <n v="690"/>
    <n v="20"/>
    <n v="21665"/>
    <n v="122"/>
    <n v="42814"/>
    <x v="28"/>
    <n v="-9"/>
    <s v="Major"/>
    <x v="47"/>
    <x v="0"/>
    <n v="13"/>
    <x v="38"/>
    <n v="213"/>
    <n v="3.55"/>
    <n v="6"/>
    <n v="6"/>
    <n v="67"/>
  </r>
  <r>
    <s v="Kiss You"/>
    <x v="38"/>
    <x v="15"/>
    <n v="2013"/>
    <n v="723894473"/>
    <x v="1"/>
    <n v="6339"/>
    <x v="16"/>
    <x v="63"/>
    <n v="34312"/>
    <x v="56"/>
    <n v="13"/>
    <n v="4"/>
    <n v="1689"/>
    <n v="152"/>
    <n v="42353"/>
    <x v="17"/>
    <n v="-3"/>
    <s v="Major"/>
    <x v="40"/>
    <x v="14"/>
    <n v="32"/>
    <x v="24"/>
    <n v="183"/>
    <n v="3.05"/>
    <n v="2"/>
    <n v="6"/>
    <n v="73"/>
  </r>
  <r>
    <s v="Kissing Strangers"/>
    <x v="43"/>
    <x v="0"/>
    <n v="2017"/>
    <n v="401036314"/>
    <x v="0"/>
    <n v="3107"/>
    <x v="106"/>
    <x v="135"/>
    <n v="9039"/>
    <x v="17"/>
    <n v="203"/>
    <n v="5"/>
    <n v="8054"/>
    <n v="342"/>
    <n v="20403"/>
    <x v="7"/>
    <n v="-6"/>
    <s v="Major"/>
    <x v="22"/>
    <x v="9"/>
    <n v="9"/>
    <x v="36"/>
    <n v="202"/>
    <n v="3.3666666666666667"/>
    <n v="5"/>
    <n v="4"/>
    <n v="66"/>
  </r>
  <r>
    <s v="Kissing Strangers - Remix"/>
    <x v="43"/>
    <x v="0"/>
    <n v="2017"/>
    <n v="223633238"/>
    <x v="2"/>
    <n v="1561"/>
    <x v="105"/>
    <x v="104"/>
    <n v="26678"/>
    <x v="88"/>
    <n v="25"/>
    <n v="47"/>
    <n v="1682"/>
    <n v="361"/>
    <n v="29946"/>
    <x v="7"/>
    <n v="-6"/>
    <s v="Minor"/>
    <x v="58"/>
    <x v="11"/>
    <n v="8"/>
    <x v="43"/>
    <n v="202"/>
    <n v="3.3666666666666667"/>
    <n v="8"/>
    <n v="5"/>
    <n v="43"/>
  </r>
  <r>
    <s v="L.A.LOVE (la la)"/>
    <x v="10"/>
    <x v="0"/>
    <n v="2015"/>
    <n v="700"/>
    <x v="2"/>
    <n v="1338"/>
    <x v="191"/>
    <x v="52"/>
    <n v="38580"/>
    <x v="49"/>
    <n v="26"/>
    <n v="7"/>
    <n v="28945"/>
    <n v="148"/>
    <n v="68889"/>
    <x v="90"/>
    <n v="-8"/>
    <s v="Major"/>
    <x v="61"/>
    <x v="23"/>
    <n v="26"/>
    <x v="42"/>
    <n v="193"/>
    <n v="3.2166666666666668"/>
    <n v="2"/>
    <n v="9"/>
    <n v="0"/>
  </r>
  <r>
    <s v="La La La (Brasil 2014) (feat. Carlinhos Brown)"/>
    <x v="59"/>
    <x v="20"/>
    <n v="2014"/>
    <n v="244585109"/>
    <x v="2"/>
    <n v="1747"/>
    <x v="185"/>
    <x v="52"/>
    <n v="14507"/>
    <x v="49"/>
    <n v="50"/>
    <n v="32"/>
    <n v="33669"/>
    <n v="314"/>
    <n v="49973"/>
    <x v="3"/>
    <n v="-5"/>
    <s v="Major"/>
    <x v="23"/>
    <x v="4"/>
    <n v="35"/>
    <x v="31"/>
    <n v="198"/>
    <n v="3.3"/>
    <n v="18"/>
    <n v="4"/>
    <n v="50"/>
  </r>
  <r>
    <s v="Last Friday Night (T.G.I.F.)"/>
    <x v="39"/>
    <x v="0"/>
    <n v="2011"/>
    <n v="201660859"/>
    <x v="2"/>
    <n v="1420"/>
    <x v="192"/>
    <x v="86"/>
    <n v="32915"/>
    <x v="71"/>
    <n v="6310"/>
    <n v="200"/>
    <n v="5111"/>
    <n v="215"/>
    <n v="45756"/>
    <x v="35"/>
    <n v="-4"/>
    <s v="Major"/>
    <x v="36"/>
    <x v="34"/>
    <n v="67"/>
    <x v="54"/>
    <n v="231"/>
    <n v="3.85"/>
    <n v="0"/>
    <n v="4"/>
    <n v="27"/>
  </r>
  <r>
    <s v="Latch"/>
    <x v="122"/>
    <x v="34"/>
    <n v="2014"/>
    <n v="673801126"/>
    <x v="1"/>
    <n v="5491"/>
    <x v="117"/>
    <x v="39"/>
    <n v="39256"/>
    <x v="36"/>
    <n v="6"/>
    <n v="5"/>
    <n v="4646"/>
    <n v="31"/>
    <n v="49399"/>
    <x v="47"/>
    <n v="-5"/>
    <s v="Major"/>
    <x v="32"/>
    <x v="45"/>
    <n v="9"/>
    <x v="11"/>
    <n v="256"/>
    <n v="4.2666666666666666"/>
    <n v="2"/>
    <n v="17"/>
    <n v="72"/>
  </r>
  <r>
    <s v="Lay It All on Me"/>
    <x v="123"/>
    <x v="0"/>
    <n v="2015"/>
    <n v="331511413"/>
    <x v="0"/>
    <n v="2577"/>
    <x v="6"/>
    <x v="22"/>
    <n v="1452"/>
    <x v="21"/>
    <n v="15"/>
    <n v="43"/>
    <n v="13849"/>
    <n v="345"/>
    <n v="17893"/>
    <x v="49"/>
    <n v="-7"/>
    <s v="Major"/>
    <x v="18"/>
    <x v="26"/>
    <n v="19"/>
    <x v="21"/>
    <n v="242"/>
    <n v="4.0333333333333332"/>
    <n v="14"/>
    <n v="4"/>
    <n v="62"/>
  </r>
  <r>
    <s v="Legendary Lovers"/>
    <x v="39"/>
    <x v="0"/>
    <n v="2015"/>
    <n v="222612678"/>
    <x v="2"/>
    <n v="1545"/>
    <x v="193"/>
    <x v="5"/>
    <n v="14396"/>
    <x v="5"/>
    <n v="11"/>
    <n v="9"/>
    <n v="16420"/>
    <n v="155"/>
    <n v="32372"/>
    <x v="35"/>
    <n v="-5"/>
    <s v="Minor"/>
    <x v="4"/>
    <x v="41"/>
    <n v="8"/>
    <x v="65"/>
    <n v="224"/>
    <n v="3.7333333333333334"/>
    <n v="2"/>
    <n v="8"/>
    <n v="41"/>
  </r>
  <r>
    <s v="Lemon"/>
    <x v="124"/>
    <x v="24"/>
    <n v="2018"/>
    <n v="459276435"/>
    <x v="0"/>
    <n v="3541"/>
    <x v="194"/>
    <x v="63"/>
    <n v="23311"/>
    <x v="56"/>
    <n v="274"/>
    <n v="27"/>
    <n v="36550"/>
    <n v="5"/>
    <n v="63676"/>
    <x v="56"/>
    <n v="-7"/>
    <s v="Minor"/>
    <x v="32"/>
    <x v="61"/>
    <n v="12"/>
    <x v="13"/>
    <n v="220"/>
    <n v="3.6666666666666665"/>
    <n v="0"/>
    <n v="9"/>
    <n v="68"/>
  </r>
  <r>
    <s v="Let Her Go"/>
    <x v="35"/>
    <x v="13"/>
    <n v="2014"/>
    <n v="1113838873"/>
    <x v="3"/>
    <n v="9833"/>
    <x v="158"/>
    <x v="136"/>
    <n v="21510"/>
    <x v="105"/>
    <n v="8"/>
    <n v="41"/>
    <n v="5920"/>
    <n v="243"/>
    <n v="37271"/>
    <x v="88"/>
    <n v="-7"/>
    <s v="Major"/>
    <x v="42"/>
    <x v="15"/>
    <n v="10"/>
    <x v="81"/>
    <n v="253"/>
    <n v="4.2166666666666668"/>
    <n v="39"/>
    <n v="6"/>
    <n v="77"/>
  </r>
  <r>
    <s v="Let It Go - From &quot;Frozen / Single Version"/>
    <x v="46"/>
    <x v="0"/>
    <n v="2014"/>
    <n v="344055883"/>
    <x v="0"/>
    <n v="2651"/>
    <x v="195"/>
    <x v="86"/>
    <n v="32415"/>
    <x v="76"/>
    <n v="26"/>
    <n v="11"/>
    <n v="31313"/>
    <n v="154"/>
    <n v="66405"/>
    <x v="23"/>
    <n v="-6"/>
    <s v="Major"/>
    <x v="12"/>
    <x v="45"/>
    <n v="27"/>
    <x v="10"/>
    <n v="226"/>
    <n v="3.7666666666666666"/>
    <n v="3"/>
    <n v="4"/>
    <n v="63"/>
  </r>
  <r>
    <s v="Let Me"/>
    <x v="85"/>
    <x v="0"/>
    <n v="2018"/>
    <n v="611994237"/>
    <x v="1"/>
    <n v="5120"/>
    <x v="77"/>
    <x v="25"/>
    <n v="8661"/>
    <x v="24"/>
    <n v="75"/>
    <n v="29"/>
    <n v="5228"/>
    <n v="68"/>
    <n v="19084"/>
    <x v="91"/>
    <n v="-6"/>
    <s v="Major"/>
    <x v="62"/>
    <x v="62"/>
    <n v="10"/>
    <x v="78"/>
    <n v="185"/>
    <n v="3.0833333333333335"/>
    <n v="24"/>
    <n v="5"/>
    <n v="72"/>
  </r>
  <r>
    <s v="Let Me Be Your Lover"/>
    <x v="94"/>
    <x v="0"/>
    <n v="2015"/>
    <n v="209768491"/>
    <x v="2"/>
    <n v="1473"/>
    <x v="3"/>
    <x v="102"/>
    <n v="26876"/>
    <x v="87"/>
    <n v="3728"/>
    <n v="34"/>
    <n v="5425"/>
    <n v="305"/>
    <n v="37502"/>
    <x v="87"/>
    <n v="-4"/>
    <s v="Minor"/>
    <x v="38"/>
    <x v="25"/>
    <n v="6"/>
    <x v="56"/>
    <n v="238"/>
    <n v="3.9666666666666668"/>
    <n v="1"/>
    <n v="13"/>
    <n v="34"/>
  </r>
  <r>
    <s v="Let Me Go (with Alesso, Florida Georgia Line &amp; watt)"/>
    <x v="61"/>
    <x v="0"/>
    <n v="2018"/>
    <n v="1699402402"/>
    <x v="3"/>
    <n v="21335"/>
    <x v="13"/>
    <x v="85"/>
    <n v="29198"/>
    <x v="106"/>
    <n v="272"/>
    <n v="21"/>
    <n v="29949"/>
    <n v="364"/>
    <n v="80754"/>
    <x v="22"/>
    <n v="-4"/>
    <s v="Major"/>
    <x v="0"/>
    <x v="19"/>
    <n v="8"/>
    <x v="23"/>
    <n v="175"/>
    <n v="2.9166666666666665"/>
    <n v="3"/>
    <n v="5"/>
    <n v="82"/>
  </r>
  <r>
    <s v="Let Me Love You"/>
    <x v="125"/>
    <x v="35"/>
    <n v="2017"/>
    <n v="1755214421"/>
    <x v="3"/>
    <n v="21915"/>
    <x v="122"/>
    <x v="120"/>
    <n v="35846"/>
    <x v="72"/>
    <n v="119"/>
    <n v="1"/>
    <n v="15554"/>
    <n v="120"/>
    <n v="73434"/>
    <x v="13"/>
    <n v="-5"/>
    <s v="Minor"/>
    <x v="33"/>
    <x v="34"/>
    <n v="14"/>
    <x v="12"/>
    <n v="206"/>
    <n v="3.4333333333333331"/>
    <n v="9"/>
    <n v="3"/>
    <n v="82"/>
  </r>
  <r>
    <s v="Let Me Love You (Until You Learn To Love Yourself)"/>
    <x v="126"/>
    <x v="0"/>
    <n v="2013"/>
    <n v="563902868"/>
    <x v="1"/>
    <n v="4572"/>
    <x v="196"/>
    <x v="40"/>
    <n v="38750"/>
    <x v="37"/>
    <n v="13"/>
    <n v="43"/>
    <n v="28793"/>
    <n v="146"/>
    <n v="72128"/>
    <x v="10"/>
    <n v="-7"/>
    <s v="Minor"/>
    <x v="10"/>
    <x v="19"/>
    <n v="37"/>
    <x v="10"/>
    <n v="252"/>
    <n v="4.2"/>
    <n v="25"/>
    <n v="4"/>
    <n v="70"/>
  </r>
  <r>
    <s v="Light It Up (feat. Nyla &amp; Fuse ODG) [Remix]"/>
    <x v="68"/>
    <x v="0"/>
    <n v="2016"/>
    <n v="704171068"/>
    <x v="1"/>
    <n v="6111"/>
    <x v="197"/>
    <x v="47"/>
    <n v="6223"/>
    <x v="70"/>
    <n v="44"/>
    <n v="33"/>
    <n v="15113"/>
    <n v="187"/>
    <n v="27491"/>
    <x v="29"/>
    <n v="-4"/>
    <s v="Minor"/>
    <x v="8"/>
    <x v="1"/>
    <n v="23"/>
    <x v="44"/>
    <n v="166"/>
    <n v="2.7666666666666666"/>
    <n v="4"/>
    <n v="7"/>
    <n v="73"/>
  </r>
  <r>
    <s v="Lights - Single Version"/>
    <x v="27"/>
    <x v="0"/>
    <n v="2012"/>
    <n v="389771964"/>
    <x v="0"/>
    <n v="3006"/>
    <x v="53"/>
    <x v="108"/>
    <n v="29613"/>
    <x v="53"/>
    <n v="8338"/>
    <n v="57"/>
    <n v="33758"/>
    <n v="337"/>
    <n v="74715"/>
    <x v="7"/>
    <n v="-6"/>
    <s v="Minor"/>
    <x v="6"/>
    <x v="2"/>
    <n v="13"/>
    <x v="67"/>
    <n v="211"/>
    <n v="3.5166666666666666"/>
    <n v="3"/>
    <n v="4"/>
    <n v="65"/>
  </r>
  <r>
    <s v="Like A G6"/>
    <x v="127"/>
    <x v="0"/>
    <n v="2010"/>
    <n v="694525298"/>
    <x v="1"/>
    <n v="6060"/>
    <x v="198"/>
    <x v="114"/>
    <n v="1696"/>
    <x v="70"/>
    <n v="4956"/>
    <n v="97"/>
    <n v="21071"/>
    <n v="213"/>
    <n v="33783"/>
    <x v="10"/>
    <n v="-8"/>
    <s v="Minor"/>
    <x v="4"/>
    <x v="57"/>
    <n v="12"/>
    <x v="67"/>
    <n v="217"/>
    <n v="3.6166666666666667"/>
    <n v="1"/>
    <n v="45"/>
    <n v="72"/>
  </r>
  <r>
    <s v="LIKE I WOULD"/>
    <x v="85"/>
    <x v="0"/>
    <n v="2016"/>
    <n v="368646862"/>
    <x v="0"/>
    <n v="2939"/>
    <x v="199"/>
    <x v="101"/>
    <n v="15816"/>
    <x v="40"/>
    <n v="28"/>
    <n v="29"/>
    <n v="25742"/>
    <n v="318"/>
    <n v="44525"/>
    <x v="32"/>
    <n v="-6"/>
    <s v="Minor"/>
    <x v="21"/>
    <x v="33"/>
    <n v="26"/>
    <x v="38"/>
    <n v="192"/>
    <n v="3.2"/>
    <n v="2"/>
    <n v="11"/>
    <n v="65"/>
  </r>
  <r>
    <s v="Like I'm Gonna Lose You (feat. John Legend)"/>
    <x v="16"/>
    <x v="0"/>
    <n v="2016"/>
    <n v="1297026226"/>
    <x v="3"/>
    <n v="13454"/>
    <x v="200"/>
    <x v="25"/>
    <n v="25627"/>
    <x v="107"/>
    <n v="49"/>
    <n v="16"/>
    <n v="16263"/>
    <n v="241"/>
    <n v="55393"/>
    <x v="29"/>
    <n v="-7"/>
    <s v="Major"/>
    <x v="20"/>
    <x v="14"/>
    <n v="18"/>
    <x v="69"/>
    <n v="225"/>
    <n v="3.75"/>
    <n v="40"/>
    <n v="4"/>
    <n v="79"/>
  </r>
  <r>
    <s v="Lips Are Movin"/>
    <x v="16"/>
    <x v="0"/>
    <n v="2015"/>
    <n v="465959382"/>
    <x v="0"/>
    <n v="3645"/>
    <x v="201"/>
    <x v="7"/>
    <n v="1619"/>
    <x v="9"/>
    <n v="15"/>
    <n v="9"/>
    <n v="18172"/>
    <n v="111"/>
    <n v="23451"/>
    <x v="11"/>
    <n v="-5"/>
    <s v="Minor"/>
    <x v="21"/>
    <x v="27"/>
    <n v="11"/>
    <x v="70"/>
    <n v="183"/>
    <n v="3.05"/>
    <n v="5"/>
    <n v="5"/>
    <n v="68"/>
  </r>
  <r>
    <s v="Little Lies"/>
    <x v="128"/>
    <x v="0"/>
    <n v="2016"/>
    <n v="211050784"/>
    <x v="2"/>
    <n v="1479"/>
    <x v="199"/>
    <x v="16"/>
    <n v="18742"/>
    <x v="15"/>
    <n v="31"/>
    <n v="10"/>
    <n v="23429"/>
    <n v="247"/>
    <n v="43681"/>
    <x v="19"/>
    <n v="-6"/>
    <s v="Major"/>
    <x v="1"/>
    <x v="47"/>
    <n v="4"/>
    <x v="4"/>
    <n v="204"/>
    <n v="3.4"/>
    <n v="0"/>
    <n v="6"/>
    <n v="36"/>
  </r>
  <r>
    <s v="Live It Up"/>
    <x v="13"/>
    <x v="0"/>
    <n v="2013"/>
    <n v="286739476"/>
    <x v="0"/>
    <n v="2129"/>
    <x v="56"/>
    <x v="11"/>
    <n v="17455"/>
    <x v="11"/>
    <n v="7"/>
    <n v="7"/>
    <n v="15048"/>
    <n v="89"/>
    <n v="34639"/>
    <x v="3"/>
    <n v="-5"/>
    <s v="Major"/>
    <x v="32"/>
    <x v="28"/>
    <n v="33"/>
    <x v="19"/>
    <n v="244"/>
    <n v="4.0666666666666664"/>
    <n v="1"/>
    <n v="17"/>
    <n v="57"/>
  </r>
  <r>
    <s v="Living For Love"/>
    <x v="100"/>
    <x v="0"/>
    <n v="2015"/>
    <n v="247737946"/>
    <x v="2"/>
    <n v="1845"/>
    <x v="202"/>
    <x v="22"/>
    <n v="12593"/>
    <x v="21"/>
    <n v="1"/>
    <n v="13"/>
    <n v="10908"/>
    <n v="169"/>
    <n v="25347"/>
    <x v="49"/>
    <n v="-5"/>
    <s v="Major"/>
    <x v="35"/>
    <x v="26"/>
    <n v="25"/>
    <x v="65"/>
    <n v="219"/>
    <n v="3.65"/>
    <n v="4"/>
    <n v="9"/>
    <n v="52"/>
  </r>
  <r>
    <s v="Loca"/>
    <x v="59"/>
    <x v="20"/>
    <n v="2010"/>
    <n v="283332261"/>
    <x v="0"/>
    <n v="2094"/>
    <x v="163"/>
    <x v="111"/>
    <n v="8310"/>
    <x v="47"/>
    <n v="3679"/>
    <n v="120"/>
    <n v="29341"/>
    <n v="4"/>
    <n v="43424"/>
    <x v="87"/>
    <n v="-4"/>
    <s v="Major"/>
    <x v="27"/>
    <x v="4"/>
    <n v="9"/>
    <x v="68"/>
    <n v="193"/>
    <n v="3.2166666666666668"/>
    <n v="19"/>
    <n v="7"/>
    <n v="56"/>
  </r>
  <r>
    <s v="Locked Out of Heaven"/>
    <x v="6"/>
    <x v="2"/>
    <n v="2012"/>
    <n v="1367810478"/>
    <x v="3"/>
    <n v="14994"/>
    <x v="203"/>
    <x v="45"/>
    <n v="35040"/>
    <x v="25"/>
    <n v="6562"/>
    <n v="173"/>
    <n v="25744"/>
    <n v="75"/>
    <n v="82340"/>
    <x v="82"/>
    <n v="-4"/>
    <s v="Minor"/>
    <x v="37"/>
    <x v="17"/>
    <n v="31"/>
    <x v="82"/>
    <n v="233"/>
    <n v="3.8833333333333333"/>
    <n v="5"/>
    <n v="4"/>
    <n v="96"/>
  </r>
  <r>
    <s v="Look What You Made Me Do"/>
    <x v="5"/>
    <x v="2"/>
    <n v="2018"/>
    <n v="838079900"/>
    <x v="1"/>
    <n v="7545"/>
    <x v="72"/>
    <x v="89"/>
    <n v="9757"/>
    <x v="102"/>
    <n v="266"/>
    <n v="21"/>
    <n v="17834"/>
    <n v="132"/>
    <n v="35402"/>
    <x v="3"/>
    <n v="-6"/>
    <s v="Major"/>
    <x v="0"/>
    <x v="9"/>
    <n v="13"/>
    <x v="71"/>
    <n v="212"/>
    <n v="3.5333333333333332"/>
    <n v="20"/>
    <n v="12"/>
    <n v="92"/>
  </r>
  <r>
    <s v="Lose You To Love Me"/>
    <x v="33"/>
    <x v="0"/>
    <n v="2019"/>
    <n v="3562543890"/>
    <x v="3"/>
    <n v="51979"/>
    <x v="167"/>
    <x v="52"/>
    <n v="26984"/>
    <x v="49"/>
    <n v="8215"/>
    <n v="2"/>
    <n v="18606"/>
    <n v="35"/>
    <n v="105784"/>
    <x v="38"/>
    <n v="-9"/>
    <s v="Major"/>
    <x v="45"/>
    <x v="15"/>
    <n v="21"/>
    <x v="76"/>
    <n v="206"/>
    <n v="3.4333333333333331"/>
    <n v="58"/>
    <n v="4"/>
    <n v="85"/>
  </r>
  <r>
    <s v="Lose Yourself to Dance"/>
    <x v="99"/>
    <x v="30"/>
    <n v="2013"/>
    <n v="674072710"/>
    <x v="1"/>
    <n v="5542"/>
    <x v="204"/>
    <x v="137"/>
    <n v="35563"/>
    <x v="108"/>
    <n v="3421"/>
    <n v="20"/>
    <n v="24104"/>
    <n v="362"/>
    <n v="68630"/>
    <x v="13"/>
    <n v="-8"/>
    <s v="Minor"/>
    <x v="12"/>
    <x v="39"/>
    <n v="8"/>
    <x v="77"/>
    <n v="354"/>
    <n v="5.9"/>
    <n v="8"/>
    <n v="6"/>
    <n v="81"/>
  </r>
  <r>
    <s v="Love"/>
    <x v="129"/>
    <x v="25"/>
    <n v="2017"/>
    <n v="618990393"/>
    <x v="1"/>
    <n v="5148"/>
    <x v="154"/>
    <x v="63"/>
    <n v="35168"/>
    <x v="56"/>
    <n v="40"/>
    <n v="48"/>
    <n v="18656"/>
    <n v="313"/>
    <n v="59012"/>
    <x v="12"/>
    <n v="-11"/>
    <s v="Major"/>
    <x v="49"/>
    <x v="8"/>
    <n v="11"/>
    <x v="38"/>
    <n v="273"/>
    <n v="4.55"/>
    <n v="49"/>
    <n v="3"/>
    <n v="66"/>
  </r>
  <r>
    <s v="Love Incredible (feat. Camila Cabello)"/>
    <x v="130"/>
    <x v="36"/>
    <n v="2017"/>
    <n v="298063749"/>
    <x v="0"/>
    <n v="2291"/>
    <x v="109"/>
    <x v="136"/>
    <n v="181"/>
    <x v="30"/>
    <n v="356"/>
    <n v="3"/>
    <n v="13982"/>
    <n v="248"/>
    <n v="16810"/>
    <x v="92"/>
    <n v="-9"/>
    <s v="Minor"/>
    <x v="55"/>
    <x v="59"/>
    <n v="20"/>
    <x v="75"/>
    <n v="180"/>
    <n v="3"/>
    <n v="6"/>
    <n v="12"/>
    <n v="83"/>
  </r>
  <r>
    <s v="Love Me Again"/>
    <x v="131"/>
    <x v="2"/>
    <n v="2014"/>
    <n v="721975598"/>
    <x v="1"/>
    <n v="6308"/>
    <x v="205"/>
    <x v="70"/>
    <n v="14594"/>
    <x v="62"/>
    <n v="1089"/>
    <n v="2"/>
    <n v="6443"/>
    <n v="211"/>
    <n v="28434"/>
    <x v="35"/>
    <n v="-5"/>
    <s v="Minor"/>
    <x v="53"/>
    <x v="45"/>
    <n v="10"/>
    <x v="75"/>
    <n v="240"/>
    <n v="4"/>
    <n v="0"/>
    <n v="4"/>
    <n v="84"/>
  </r>
  <r>
    <s v="Love Me Harder"/>
    <x v="51"/>
    <x v="0"/>
    <n v="2015"/>
    <n v="972164968"/>
    <x v="1"/>
    <n v="8576"/>
    <x v="206"/>
    <x v="13"/>
    <n v="32760"/>
    <x v="13"/>
    <n v="15"/>
    <n v="28"/>
    <n v="1961"/>
    <n v="268"/>
    <n v="43312"/>
    <x v="12"/>
    <n v="-4"/>
    <s v="Minor"/>
    <x v="0"/>
    <x v="46"/>
    <n v="8"/>
    <x v="81"/>
    <n v="236"/>
    <n v="3.9333333333333331"/>
    <n v="1"/>
    <n v="3"/>
    <n v="77"/>
  </r>
  <r>
    <s v="Love Me Like You"/>
    <x v="113"/>
    <x v="0"/>
    <n v="2015"/>
    <n v="374191487"/>
    <x v="0"/>
    <n v="2948"/>
    <x v="207"/>
    <x v="52"/>
    <n v="18822"/>
    <x v="49"/>
    <n v="31"/>
    <n v="1"/>
    <n v="36270"/>
    <n v="245"/>
    <n v="58071"/>
    <x v="40"/>
    <n v="-4"/>
    <s v="Major"/>
    <x v="31"/>
    <x v="3"/>
    <n v="28"/>
    <x v="68"/>
    <n v="198"/>
    <n v="3.3"/>
    <n v="21"/>
    <n v="4"/>
    <n v="90"/>
  </r>
  <r>
    <s v="Love Me Like You Do - From &quot;Fifty Shades Of Grey&quot;"/>
    <x v="27"/>
    <x v="0"/>
    <n v="2015"/>
    <n v="1329090101"/>
    <x v="3"/>
    <n v="14169"/>
    <x v="74"/>
    <x v="138"/>
    <n v="28627"/>
    <x v="109"/>
    <n v="12"/>
    <n v="7"/>
    <n v="35613"/>
    <n v="164"/>
    <n v="78421"/>
    <x v="20"/>
    <n v="-7"/>
    <s v="Major"/>
    <x v="3"/>
    <x v="48"/>
    <n v="13"/>
    <x v="50"/>
    <n v="253"/>
    <n v="4.2166666666666668"/>
    <n v="25"/>
    <n v="5"/>
    <n v="85"/>
  </r>
  <r>
    <s v="Love Never Felt So Good"/>
    <x v="132"/>
    <x v="2"/>
    <n v="2014"/>
    <n v="601863821"/>
    <x v="1"/>
    <n v="4890"/>
    <x v="208"/>
    <x v="139"/>
    <n v="16015"/>
    <x v="110"/>
    <n v="9"/>
    <n v="7"/>
    <n v="11257"/>
    <n v="399"/>
    <n v="32171"/>
    <x v="25"/>
    <n v="-6"/>
    <s v="Minor"/>
    <x v="33"/>
    <x v="27"/>
    <n v="7"/>
    <x v="32"/>
    <n v="246"/>
    <n v="4.0999999999999996"/>
    <n v="13"/>
    <n v="4"/>
    <n v="71"/>
  </r>
  <r>
    <s v="Love On The Brain"/>
    <x v="21"/>
    <x v="9"/>
    <n v="2018"/>
    <n v="1714490998"/>
    <x v="3"/>
    <n v="21574"/>
    <x v="13"/>
    <x v="47"/>
    <n v="2397"/>
    <x v="44"/>
    <n v="577"/>
    <n v="45"/>
    <n v="22909"/>
    <n v="170"/>
    <n v="47457"/>
    <x v="93"/>
    <n v="-5"/>
    <s v="Major"/>
    <x v="57"/>
    <x v="15"/>
    <n v="8"/>
    <x v="25"/>
    <n v="224"/>
    <n v="3.7333333333333334"/>
    <n v="7"/>
    <n v="5"/>
    <n v="82"/>
  </r>
  <r>
    <s v="Love On Top"/>
    <x v="1"/>
    <x v="0"/>
    <n v="2011"/>
    <n v="1007612429"/>
    <x v="3"/>
    <n v="9021"/>
    <x v="209"/>
    <x v="140"/>
    <n v="11235"/>
    <x v="38"/>
    <n v="2236"/>
    <n v="172"/>
    <n v="14245"/>
    <n v="296"/>
    <n v="36737"/>
    <x v="57"/>
    <n v="-5"/>
    <s v="Minor"/>
    <x v="18"/>
    <x v="34"/>
    <n v="60"/>
    <x v="19"/>
    <n v="267"/>
    <n v="4.45"/>
    <n v="8"/>
    <n v="9"/>
    <n v="76"/>
  </r>
  <r>
    <s v="Love Runs Out"/>
    <x v="20"/>
    <x v="0"/>
    <n v="2014"/>
    <n v="415932686"/>
    <x v="0"/>
    <n v="3270"/>
    <x v="160"/>
    <x v="52"/>
    <n v="33106"/>
    <x v="49"/>
    <n v="3"/>
    <n v="24"/>
    <n v="37734"/>
    <n v="301"/>
    <n v="74113"/>
    <x v="7"/>
    <n v="-4"/>
    <s v="Minor"/>
    <x v="40"/>
    <x v="25"/>
    <n v="8"/>
    <x v="23"/>
    <n v="225"/>
    <n v="3.75"/>
    <n v="17"/>
    <n v="6"/>
    <n v="66"/>
  </r>
  <r>
    <s v="Love Somebody"/>
    <x v="25"/>
    <x v="2"/>
    <n v="2013"/>
    <n v="387570742"/>
    <x v="0"/>
    <n v="3006"/>
    <x v="14"/>
    <x v="57"/>
    <n v="35727"/>
    <x v="52"/>
    <n v="23"/>
    <n v="15"/>
    <n v="24534"/>
    <n v="399"/>
    <n v="63290"/>
    <x v="7"/>
    <n v="-6"/>
    <s v="Major"/>
    <x v="24"/>
    <x v="2"/>
    <n v="12"/>
    <x v="4"/>
    <n v="230"/>
    <n v="3.8333333333333335"/>
    <n v="13"/>
    <n v="4"/>
    <n v="96"/>
  </r>
  <r>
    <s v="Love The Way You Lie"/>
    <x v="133"/>
    <x v="37"/>
    <n v="2010"/>
    <n v="1763363713"/>
    <x v="3"/>
    <n v="22439"/>
    <x v="122"/>
    <x v="141"/>
    <n v="16735"/>
    <x v="111"/>
    <n v="9245"/>
    <n v="178"/>
    <n v="30159"/>
    <n v="331"/>
    <n v="78578"/>
    <x v="39"/>
    <n v="-5"/>
    <s v="Major"/>
    <x v="40"/>
    <x v="1"/>
    <n v="52"/>
    <x v="47"/>
    <n v="263"/>
    <n v="4.3833333333333337"/>
    <n v="24"/>
    <n v="23"/>
    <n v="92"/>
  </r>
  <r>
    <s v="Love You Like A Love Song"/>
    <x v="134"/>
    <x v="0"/>
    <n v="2012"/>
    <n v="991336132"/>
    <x v="1"/>
    <n v="8870"/>
    <x v="210"/>
    <x v="142"/>
    <n v="18874"/>
    <x v="70"/>
    <n v="2551"/>
    <n v="187"/>
    <n v="12697"/>
    <n v="165"/>
    <n v="42992"/>
    <x v="94"/>
    <n v="-4"/>
    <s v="Major"/>
    <x v="10"/>
    <x v="63"/>
    <n v="7"/>
    <x v="83"/>
    <n v="188"/>
    <n v="3.1333333333333333"/>
    <n v="8"/>
    <n v="5"/>
    <n v="85"/>
  </r>
  <r>
    <s v="Love Yourself"/>
    <x v="30"/>
    <x v="11"/>
    <n v="2015"/>
    <n v="1840364617"/>
    <x v="3"/>
    <n v="24094"/>
    <x v="211"/>
    <x v="136"/>
    <n v="30135"/>
    <x v="105"/>
    <n v="8000"/>
    <n v="21"/>
    <n v="14000"/>
    <n v="229"/>
    <n v="76229"/>
    <x v="13"/>
    <n v="-10"/>
    <s v="Major"/>
    <x v="5"/>
    <x v="42"/>
    <n v="28"/>
    <x v="11"/>
    <n v="234"/>
    <n v="3.9"/>
    <n v="84"/>
    <n v="44"/>
    <n v="81"/>
  </r>
  <r>
    <s v="Lust for Life (with The Weeknd)"/>
    <x v="129"/>
    <x v="25"/>
    <n v="2017"/>
    <n v="263280370"/>
    <x v="0"/>
    <n v="1948"/>
    <x v="195"/>
    <x v="143"/>
    <n v="9121"/>
    <x v="112"/>
    <n v="587"/>
    <n v="17"/>
    <n v="11600"/>
    <n v="144"/>
    <n v="23256"/>
    <x v="13"/>
    <n v="-9"/>
    <s v="Minor"/>
    <x v="31"/>
    <x v="15"/>
    <n v="36"/>
    <x v="42"/>
    <n v="264"/>
    <n v="4.4000000000000004"/>
    <n v="58"/>
    <n v="6"/>
    <n v="83"/>
  </r>
  <r>
    <s v="Made In The USA"/>
    <x v="46"/>
    <x v="0"/>
    <n v="2013"/>
    <n v="309483971"/>
    <x v="0"/>
    <n v="2418"/>
    <x v="1"/>
    <x v="27"/>
    <n v="25960"/>
    <x v="26"/>
    <n v="3"/>
    <n v="8"/>
    <n v="9937"/>
    <n v="23"/>
    <n v="38318"/>
    <x v="39"/>
    <n v="-4"/>
    <s v="Major"/>
    <x v="13"/>
    <x v="5"/>
    <n v="32"/>
    <x v="33"/>
    <n v="196"/>
    <n v="3.2666666666666666"/>
    <n v="0"/>
    <n v="4"/>
    <n v="84"/>
  </r>
  <r>
    <s v="Make Me Like You"/>
    <x v="31"/>
    <x v="0"/>
    <n v="2016"/>
    <n v="240918092"/>
    <x v="2"/>
    <n v="1729"/>
    <x v="212"/>
    <x v="39"/>
    <n v="25926"/>
    <x v="36"/>
    <n v="17"/>
    <n v="35"/>
    <n v="29812"/>
    <n v="327"/>
    <n v="57484"/>
    <x v="25"/>
    <n v="-5"/>
    <s v="Major"/>
    <x v="0"/>
    <x v="22"/>
    <n v="13"/>
    <x v="29"/>
    <n v="217"/>
    <n v="3.6166666666666667"/>
    <n v="4"/>
    <n v="5"/>
    <n v="77"/>
  </r>
  <r>
    <s v="Make Me... (feat. G-Eazy)"/>
    <x v="0"/>
    <x v="0"/>
    <n v="2016"/>
    <n v="261116938"/>
    <x v="0"/>
    <n v="1933"/>
    <x v="213"/>
    <x v="52"/>
    <n v="4664"/>
    <x v="49"/>
    <n v="44"/>
    <n v="1"/>
    <n v="2907"/>
    <n v="386"/>
    <n v="9548"/>
    <x v="49"/>
    <n v="-7"/>
    <s v="Major"/>
    <x v="37"/>
    <x v="0"/>
    <n v="22"/>
    <x v="46"/>
    <n v="231"/>
    <n v="3.85"/>
    <n v="16"/>
    <n v="10"/>
    <n v="90"/>
  </r>
  <r>
    <s v="Malibu"/>
    <x v="12"/>
    <x v="0"/>
    <n v="2017"/>
    <n v="1202722675"/>
    <x v="3"/>
    <n v="11940"/>
    <x v="68"/>
    <x v="17"/>
    <n v="27450"/>
    <x v="45"/>
    <n v="99"/>
    <n v="49"/>
    <n v="2959"/>
    <n v="270"/>
    <n v="42448"/>
    <x v="23"/>
    <n v="-6"/>
    <s v="Minor"/>
    <x v="24"/>
    <x v="47"/>
    <n v="8"/>
    <x v="9"/>
    <n v="232"/>
    <n v="3.8666666666666667"/>
    <n v="8"/>
    <n v="6"/>
    <n v="85"/>
  </r>
  <r>
    <s v="Mama"/>
    <x v="135"/>
    <x v="0"/>
    <n v="2017"/>
    <n v="841749534"/>
    <x v="1"/>
    <n v="7613"/>
    <x v="3"/>
    <x v="16"/>
    <n v="19037"/>
    <x v="15"/>
    <n v="150"/>
    <n v="5"/>
    <n v="9229"/>
    <n v="109"/>
    <n v="36029"/>
    <x v="50"/>
    <n v="-4"/>
    <s v="Minor"/>
    <x v="35"/>
    <x v="22"/>
    <n v="5"/>
    <x v="55"/>
    <n v="184"/>
    <n v="3.0666666666666669"/>
    <n v="10"/>
    <n v="4"/>
    <n v="75"/>
  </r>
  <r>
    <s v="Maps"/>
    <x v="25"/>
    <x v="2"/>
    <n v="2014"/>
    <n v="1230675890"/>
    <x v="3"/>
    <n v="12403"/>
    <x v="214"/>
    <x v="144"/>
    <n v="1149"/>
    <x v="113"/>
    <n v="15"/>
    <n v="40"/>
    <n v="38661"/>
    <n v="328"/>
    <n v="52228"/>
    <x v="7"/>
    <n v="-6"/>
    <s v="Major"/>
    <x v="0"/>
    <x v="22"/>
    <n v="6"/>
    <x v="56"/>
    <n v="190"/>
    <n v="3.1666666666666665"/>
    <n v="2"/>
    <n v="3"/>
    <n v="94"/>
  </r>
  <r>
    <s v="Mark My Words"/>
    <x v="30"/>
    <x v="11"/>
    <n v="2015"/>
    <n v="343197054"/>
    <x v="0"/>
    <n v="2649"/>
    <x v="215"/>
    <x v="32"/>
    <n v="11137"/>
    <x v="7"/>
    <n v="19"/>
    <n v="12"/>
    <n v="16162"/>
    <n v="254"/>
    <n v="29967"/>
    <x v="37"/>
    <n v="-9"/>
    <s v="Major"/>
    <x v="15"/>
    <x v="54"/>
    <n v="17"/>
    <x v="11"/>
    <n v="134"/>
    <n v="2.2333333333333334"/>
    <n v="88"/>
    <n v="3"/>
    <n v="63"/>
  </r>
  <r>
    <s v="Marry The Night"/>
    <x v="14"/>
    <x v="0"/>
    <n v="2011"/>
    <n v="323455692"/>
    <x v="0"/>
    <n v="2528"/>
    <x v="216"/>
    <x v="145"/>
    <n v="26877"/>
    <x v="32"/>
    <n v="6446"/>
    <n v="66"/>
    <n v="2292"/>
    <n v="315"/>
    <n v="38143"/>
    <x v="83"/>
    <n v="-4"/>
    <s v="Minor"/>
    <x v="8"/>
    <x v="42"/>
    <n v="46"/>
    <x v="25"/>
    <n v="265"/>
    <n v="4.416666666666667"/>
    <n v="0"/>
    <n v="6"/>
    <n v="61"/>
  </r>
  <r>
    <s v="Marry You"/>
    <x v="6"/>
    <x v="2"/>
    <n v="2010"/>
    <n v="777765388"/>
    <x v="1"/>
    <n v="6734"/>
    <x v="217"/>
    <x v="146"/>
    <n v="21482"/>
    <x v="70"/>
    <n v="5643"/>
    <n v="191"/>
    <n v="21403"/>
    <n v="344"/>
    <n v="55262"/>
    <x v="6"/>
    <n v="-5"/>
    <s v="Major"/>
    <x v="21"/>
    <x v="41"/>
    <n v="10"/>
    <x v="21"/>
    <n v="230"/>
    <n v="3.8333333333333335"/>
    <n v="33"/>
    <n v="4"/>
    <n v="94"/>
  </r>
  <r>
    <s v="Me Too"/>
    <x v="16"/>
    <x v="0"/>
    <n v="2016"/>
    <n v="705469769"/>
    <x v="1"/>
    <n v="6127"/>
    <x v="218"/>
    <x v="16"/>
    <n v="6839"/>
    <x v="15"/>
    <n v="50"/>
    <n v="31"/>
    <n v="13930"/>
    <n v="260"/>
    <n v="26946"/>
    <x v="19"/>
    <n v="-6"/>
    <s v="Major"/>
    <x v="34"/>
    <x v="37"/>
    <n v="48"/>
    <x v="40"/>
    <n v="181"/>
    <n v="3.0166666666666666"/>
    <n v="10"/>
    <n v="10"/>
    <n v="73"/>
  </r>
  <r>
    <s v="Me, Myself &amp; I"/>
    <x v="110"/>
    <x v="24"/>
    <n v="2016"/>
    <n v="1217120710"/>
    <x v="3"/>
    <n v="12211"/>
    <x v="219"/>
    <x v="16"/>
    <n v="34850"/>
    <x v="15"/>
    <n v="26"/>
    <n v="47"/>
    <n v="23092"/>
    <n v="34"/>
    <n v="70179"/>
    <x v="87"/>
    <n v="-7"/>
    <s v="Minor"/>
    <x v="31"/>
    <x v="11"/>
    <n v="16"/>
    <x v="25"/>
    <n v="251"/>
    <n v="4.1833333333333336"/>
    <n v="2"/>
    <n v="10"/>
    <n v="78"/>
  </r>
  <r>
    <s v="Meet Me Halfway"/>
    <x v="118"/>
    <x v="0"/>
    <n v="2010"/>
    <n v="482175240"/>
    <x v="0"/>
    <n v="3859"/>
    <x v="147"/>
    <x v="87"/>
    <n v="22918"/>
    <x v="64"/>
    <n v="3804"/>
    <n v="121"/>
    <n v="23312"/>
    <n v="47"/>
    <n v="53893"/>
    <x v="9"/>
    <n v="-7"/>
    <s v="Minor"/>
    <x v="60"/>
    <x v="4"/>
    <n v="32"/>
    <x v="4"/>
    <n v="284"/>
    <n v="4.7333333333333334"/>
    <n v="0"/>
    <n v="7"/>
    <n v="68"/>
  </r>
  <r>
    <s v="Memories"/>
    <x v="25"/>
    <x v="2"/>
    <n v="2019"/>
    <n v="2838096550"/>
    <x v="3"/>
    <n v="52898"/>
    <x v="167"/>
    <x v="32"/>
    <n v="38075"/>
    <x v="30"/>
    <n v="200"/>
    <n v="7"/>
    <n v="24846"/>
    <n v="107"/>
    <n v="116019"/>
    <x v="95"/>
    <n v="-7"/>
    <s v="Minor"/>
    <x v="63"/>
    <x v="11"/>
    <n v="8"/>
    <x v="55"/>
    <n v="189"/>
    <n v="3.15"/>
    <n v="84"/>
    <n v="5"/>
    <n v="94"/>
  </r>
  <r>
    <s v="Mercy"/>
    <x v="81"/>
    <x v="11"/>
    <n v="2017"/>
    <n v="1593270737"/>
    <x v="3"/>
    <n v="18778"/>
    <x v="220"/>
    <x v="31"/>
    <n v="1652"/>
    <x v="29"/>
    <n v="199"/>
    <n v="29"/>
    <n v="39764"/>
    <n v="262"/>
    <n v="60393"/>
    <x v="8"/>
    <n v="-5"/>
    <s v="Major"/>
    <x v="12"/>
    <x v="33"/>
    <n v="11"/>
    <x v="84"/>
    <n v="209"/>
    <n v="3.4833333333333334"/>
    <n v="13"/>
    <n v="8"/>
    <n v="81"/>
  </r>
  <r>
    <s v="Messin' Around"/>
    <x v="63"/>
    <x v="0"/>
    <n v="2017"/>
    <n v="244928911"/>
    <x v="2"/>
    <n v="1788"/>
    <x v="195"/>
    <x v="138"/>
    <n v="2597"/>
    <x v="114"/>
    <n v="70"/>
    <n v="15"/>
    <n v="7759"/>
    <n v="286"/>
    <n v="12214"/>
    <x v="77"/>
    <n v="-5"/>
    <s v="Minor"/>
    <x v="36"/>
    <x v="47"/>
    <n v="4"/>
    <x v="67"/>
    <n v="223"/>
    <n v="3.7166666666666668"/>
    <n v="2"/>
    <n v="5"/>
    <n v="51"/>
  </r>
  <r>
    <s v="Mi Gente (feat. Beyoncé)"/>
    <x v="136"/>
    <x v="23"/>
    <n v="2018"/>
    <n v="460492795"/>
    <x v="0"/>
    <n v="3559"/>
    <x v="221"/>
    <x v="7"/>
    <n v="3383"/>
    <x v="7"/>
    <n v="73"/>
    <n v="12"/>
    <n v="1857"/>
    <n v="125"/>
    <n v="8872"/>
    <x v="70"/>
    <n v="-6"/>
    <s v="Minor"/>
    <x v="33"/>
    <x v="11"/>
    <n v="23"/>
    <x v="59"/>
    <n v="210"/>
    <n v="3.5"/>
    <n v="2"/>
    <n v="8"/>
    <n v="68"/>
  </r>
  <r>
    <s v="Million Reasons"/>
    <x v="14"/>
    <x v="0"/>
    <n v="2016"/>
    <n v="1449779435"/>
    <x v="3"/>
    <n v="16596"/>
    <x v="67"/>
    <x v="101"/>
    <n v="16113"/>
    <x v="73"/>
    <n v="66"/>
    <n v="15"/>
    <n v="10025"/>
    <n v="228"/>
    <n v="42800"/>
    <x v="9"/>
    <n v="-8"/>
    <s v="Major"/>
    <x v="64"/>
    <x v="26"/>
    <n v="11"/>
    <x v="72"/>
    <n v="205"/>
    <n v="3.4166666666666665"/>
    <n v="49"/>
    <n v="4"/>
    <n v="80"/>
  </r>
  <r>
    <s v="Million Years Ago"/>
    <x v="18"/>
    <x v="7"/>
    <n v="2016"/>
    <n v="200660871"/>
    <x v="2"/>
    <n v="32181"/>
    <x v="42"/>
    <x v="20"/>
    <n v="28291"/>
    <x v="19"/>
    <n v="36"/>
    <n v="4"/>
    <n v="3237"/>
    <n v="22"/>
    <n v="63745"/>
    <x v="33"/>
    <n v="-10"/>
    <s v="Major"/>
    <x v="36"/>
    <x v="64"/>
    <n v="8"/>
    <x v="45"/>
    <n v="227"/>
    <n v="3.7833333333333332"/>
    <n v="45"/>
    <n v="42"/>
    <n v="86"/>
  </r>
  <r>
    <s v="Mirrors - Radio Edit"/>
    <x v="60"/>
    <x v="0"/>
    <n v="2013"/>
    <n v="311395144"/>
    <x v="0"/>
    <n v="2420"/>
    <x v="170"/>
    <x v="147"/>
    <n v="16914"/>
    <x v="115"/>
    <n v="125"/>
    <n v="12"/>
    <n v="29899"/>
    <n v="178"/>
    <n v="49358"/>
    <x v="69"/>
    <n v="-6"/>
    <s v="Minor"/>
    <x v="19"/>
    <x v="5"/>
    <n v="43"/>
    <x v="19"/>
    <n v="277"/>
    <n v="4.6166666666666663"/>
    <n v="14"/>
    <n v="5"/>
    <n v="60"/>
  </r>
  <r>
    <s v="Misery"/>
    <x v="25"/>
    <x v="2"/>
    <n v="2010"/>
    <n v="395591396"/>
    <x v="0"/>
    <n v="3069"/>
    <x v="212"/>
    <x v="125"/>
    <n v="30544"/>
    <x v="79"/>
    <n v="5572"/>
    <n v="143"/>
    <n v="8134"/>
    <n v="78"/>
    <n v="47319"/>
    <x v="22"/>
    <n v="-5"/>
    <s v="Major"/>
    <x v="36"/>
    <x v="0"/>
    <n v="22"/>
    <x v="27"/>
    <n v="216"/>
    <n v="3.6"/>
    <n v="0"/>
    <n v="4"/>
    <n v="85"/>
  </r>
  <r>
    <s v="Miss You (with Major Lazer &amp; Tory Lanez)"/>
    <x v="130"/>
    <x v="36"/>
    <n v="2018"/>
    <n v="351636786"/>
    <x v="0"/>
    <n v="2742"/>
    <x v="222"/>
    <x v="116"/>
    <n v="25465"/>
    <x v="8"/>
    <n v="61"/>
    <n v="4"/>
    <n v="4313"/>
    <n v="58"/>
    <n v="32581"/>
    <x v="13"/>
    <n v="-5"/>
    <s v="Minor"/>
    <x v="57"/>
    <x v="1"/>
    <n v="11"/>
    <x v="2"/>
    <n v="186"/>
    <n v="3.1"/>
    <n v="25"/>
    <n v="9"/>
    <n v="64"/>
  </r>
  <r>
    <s v="Mmm Yeah (feat. Pitbull)"/>
    <x v="137"/>
    <x v="0"/>
    <n v="2014"/>
    <n v="383835984"/>
    <x v="0"/>
    <n v="2999"/>
    <x v="121"/>
    <x v="39"/>
    <n v="36488"/>
    <x v="36"/>
    <n v="8"/>
    <n v="2"/>
    <n v="18748"/>
    <n v="377"/>
    <n v="58243"/>
    <x v="35"/>
    <n v="-4"/>
    <s v="Minor"/>
    <x v="2"/>
    <x v="30"/>
    <n v="27"/>
    <x v="85"/>
    <n v="232"/>
    <n v="3.8666666666666667"/>
    <n v="0"/>
    <n v="4"/>
    <n v="65"/>
  </r>
  <r>
    <s v="Moment 4 Life - Album Version (Edited)"/>
    <x v="22"/>
    <x v="0"/>
    <n v="2011"/>
    <n v="203221468"/>
    <x v="2"/>
    <n v="1443"/>
    <x v="223"/>
    <x v="148"/>
    <n v="34851"/>
    <x v="53"/>
    <n v="4130"/>
    <n v="51"/>
    <n v="17698"/>
    <n v="343"/>
    <n v="58122"/>
    <x v="9"/>
    <n v="-4"/>
    <s v="Minor"/>
    <x v="8"/>
    <x v="45"/>
    <n v="22"/>
    <x v="15"/>
    <n v="279"/>
    <n v="4.6500000000000004"/>
    <n v="39"/>
    <n v="38"/>
    <n v="28"/>
  </r>
  <r>
    <s v="Monster"/>
    <x v="138"/>
    <x v="38"/>
    <n v="2011"/>
    <n v="756907987"/>
    <x v="1"/>
    <n v="6596"/>
    <x v="224"/>
    <x v="149"/>
    <n v="992"/>
    <x v="37"/>
    <n v="6971"/>
    <n v="98"/>
    <n v="31908"/>
    <n v="322"/>
    <n v="46467"/>
    <x v="10"/>
    <n v="-6"/>
    <s v="Minor"/>
    <x v="34"/>
    <x v="14"/>
    <n v="67"/>
    <x v="66"/>
    <n v="379"/>
    <n v="6.3166666666666664"/>
    <n v="0"/>
    <n v="20"/>
    <n v="73"/>
  </r>
  <r>
    <s v="Move"/>
    <x v="113"/>
    <x v="0"/>
    <n v="2013"/>
    <n v="345031710"/>
    <x v="0"/>
    <n v="2668"/>
    <x v="225"/>
    <x v="150"/>
    <n v="27106"/>
    <x v="68"/>
    <n v="6551"/>
    <n v="2"/>
    <n v="4441"/>
    <n v="155"/>
    <n v="40766"/>
    <x v="26"/>
    <n v="-5"/>
    <s v="Major"/>
    <x v="22"/>
    <x v="36"/>
    <n v="55"/>
    <x v="86"/>
    <n v="224"/>
    <n v="3.7333333333333334"/>
    <n v="0"/>
    <n v="9"/>
    <n v="63"/>
  </r>
  <r>
    <s v="MOVE TO MIAMI"/>
    <x v="94"/>
    <x v="0"/>
    <n v="2018"/>
    <n v="354065229"/>
    <x v="0"/>
    <n v="2775"/>
    <x v="213"/>
    <x v="151"/>
    <n v="38120"/>
    <x v="114"/>
    <n v="150"/>
    <n v="16"/>
    <n v="37377"/>
    <n v="25"/>
    <n v="78422"/>
    <x v="13"/>
    <n v="-4"/>
    <s v="Major"/>
    <x v="27"/>
    <x v="11"/>
    <n v="7"/>
    <x v="53"/>
    <n v="169"/>
    <n v="2.8166666666666669"/>
    <n v="3"/>
    <n v="5"/>
    <n v="64"/>
  </r>
  <r>
    <s v="Moves Like Jagger - Studio Recording From The Voice Performance"/>
    <x v="25"/>
    <x v="2"/>
    <n v="2011"/>
    <n v="1022258230"/>
    <x v="3"/>
    <n v="9037"/>
    <x v="226"/>
    <x v="152"/>
    <n v="12284"/>
    <x v="73"/>
    <n v="8045"/>
    <n v="56"/>
    <n v="1067"/>
    <n v="239"/>
    <n v="30433"/>
    <x v="3"/>
    <n v="-4"/>
    <s v="Minor"/>
    <x v="1"/>
    <x v="25"/>
    <n v="32"/>
    <x v="60"/>
    <n v="201"/>
    <n v="3.35"/>
    <n v="1"/>
    <n v="5"/>
    <n v="85"/>
  </r>
  <r>
    <s v="Mr. Put It Down"/>
    <x v="139"/>
    <x v="0"/>
    <n v="2015"/>
    <n v="223319934"/>
    <x v="2"/>
    <n v="1553"/>
    <x v="227"/>
    <x v="57"/>
    <n v="30822"/>
    <x v="52"/>
    <n v="48"/>
    <n v="7"/>
    <n v="12174"/>
    <n v="325"/>
    <n v="44597"/>
    <x v="3"/>
    <n v="-6"/>
    <s v="Major"/>
    <x v="24"/>
    <x v="4"/>
    <n v="4"/>
    <x v="52"/>
    <n v="196"/>
    <n v="3.2666666666666666"/>
    <n v="1"/>
    <n v="18"/>
    <n v="42"/>
  </r>
  <r>
    <s v="Muny - Album Version (Edited)"/>
    <x v="22"/>
    <x v="0"/>
    <n v="2011"/>
    <n v="1365184"/>
    <x v="2"/>
    <n v="1370"/>
    <x v="228"/>
    <x v="38"/>
    <n v="33633"/>
    <x v="39"/>
    <n v="8702"/>
    <n v="172"/>
    <n v="29133"/>
    <n v="46"/>
    <n v="72838"/>
    <x v="33"/>
    <n v="-5"/>
    <s v="Major"/>
    <x v="33"/>
    <x v="4"/>
    <n v="19"/>
    <x v="8"/>
    <n v="227"/>
    <n v="3.7833333333333332"/>
    <n v="56"/>
    <n v="33"/>
    <n v="7"/>
  </r>
  <r>
    <s v="My First Kiss - feat. Ke$ha"/>
    <x v="140"/>
    <x v="0"/>
    <n v="2010"/>
    <n v="338564981"/>
    <x v="0"/>
    <n v="2610"/>
    <x v="229"/>
    <x v="153"/>
    <n v="23834"/>
    <x v="79"/>
    <n v="8738"/>
    <n v="73"/>
    <n v="6514"/>
    <n v="377"/>
    <n v="41696"/>
    <x v="51"/>
    <n v="-4"/>
    <s v="Major"/>
    <x v="53"/>
    <x v="2"/>
    <n v="36"/>
    <x v="52"/>
    <n v="192"/>
    <n v="3.2"/>
    <n v="1"/>
    <n v="8"/>
    <n v="62"/>
  </r>
  <r>
    <s v="My House"/>
    <x v="67"/>
    <x v="0"/>
    <n v="2015"/>
    <n v="1093605526"/>
    <x v="3"/>
    <n v="9724"/>
    <x v="75"/>
    <x v="16"/>
    <n v="39867"/>
    <x v="15"/>
    <n v="30"/>
    <n v="36"/>
    <n v="1161"/>
    <n v="362"/>
    <n v="50782"/>
    <x v="57"/>
    <n v="-5"/>
    <s v="Major"/>
    <x v="37"/>
    <x v="28"/>
    <n v="13"/>
    <x v="23"/>
    <n v="192"/>
    <n v="3.2"/>
    <n v="2"/>
    <n v="5"/>
    <n v="77"/>
  </r>
  <r>
    <s v="My My My!"/>
    <x v="141"/>
    <x v="0"/>
    <n v="2018"/>
    <n v="920045682"/>
    <x v="1"/>
    <n v="8207"/>
    <x v="230"/>
    <x v="25"/>
    <n v="15721"/>
    <x v="24"/>
    <n v="478"/>
    <n v="23"/>
    <n v="34482"/>
    <n v="296"/>
    <n v="58888"/>
    <x v="22"/>
    <n v="-8"/>
    <s v="Minor"/>
    <x v="52"/>
    <x v="0"/>
    <n v="5"/>
    <x v="21"/>
    <n v="205"/>
    <n v="3.4166666666666665"/>
    <n v="0"/>
    <n v="8"/>
    <n v="76"/>
  </r>
  <r>
    <s v="My Way"/>
    <x v="41"/>
    <x v="0"/>
    <n v="2017"/>
    <n v="1168642797"/>
    <x v="3"/>
    <n v="11087"/>
    <x v="141"/>
    <x v="144"/>
    <n v="1232"/>
    <x v="113"/>
    <n v="277"/>
    <n v="3"/>
    <n v="19591"/>
    <n v="311"/>
    <n v="32187"/>
    <x v="7"/>
    <n v="-3"/>
    <s v="Major"/>
    <x v="43"/>
    <x v="7"/>
    <n v="16"/>
    <x v="30"/>
    <n v="219"/>
    <n v="3.65"/>
    <n v="9"/>
    <n v="4"/>
    <n v="78"/>
  </r>
  <r>
    <s v="Naturally"/>
    <x v="134"/>
    <x v="0"/>
    <n v="2010"/>
    <n v="366599607"/>
    <x v="0"/>
    <n v="2876"/>
    <x v="107"/>
    <x v="70"/>
    <n v="39001"/>
    <x v="59"/>
    <n v="8545"/>
    <n v="113"/>
    <n v="10391"/>
    <n v="157"/>
    <n v="60813"/>
    <x v="79"/>
    <n v="-5"/>
    <s v="Major"/>
    <x v="38"/>
    <x v="42"/>
    <n v="5"/>
    <x v="56"/>
    <n v="203"/>
    <n v="3.3833333333333333"/>
    <n v="2"/>
    <n v="5"/>
    <n v="64"/>
  </r>
  <r>
    <s v="Needed Me"/>
    <x v="21"/>
    <x v="9"/>
    <n v="2016"/>
    <n v="1445941661"/>
    <x v="3"/>
    <n v="16413"/>
    <x v="231"/>
    <x v="23"/>
    <n v="7856"/>
    <x v="22"/>
    <n v="208"/>
    <n v="14"/>
    <n v="8293"/>
    <n v="43"/>
    <n v="32770"/>
    <x v="74"/>
    <n v="-8"/>
    <s v="Major"/>
    <x v="65"/>
    <x v="26"/>
    <n v="8"/>
    <x v="20"/>
    <n v="192"/>
    <n v="3.2"/>
    <n v="11"/>
    <n v="24"/>
    <n v="80"/>
  </r>
  <r>
    <s v="Nervous"/>
    <x v="81"/>
    <x v="11"/>
    <n v="2018"/>
    <n v="579395142"/>
    <x v="1"/>
    <n v="4651"/>
    <x v="232"/>
    <x v="43"/>
    <n v="26040"/>
    <x v="74"/>
    <n v="65"/>
    <n v="3"/>
    <n v="16593"/>
    <n v="220"/>
    <n v="47349"/>
    <x v="47"/>
    <n v="-7"/>
    <s v="Major"/>
    <x v="9"/>
    <x v="58"/>
    <n v="13"/>
    <x v="23"/>
    <n v="164"/>
    <n v="2.7333333333333334"/>
    <n v="4"/>
    <n v="8"/>
    <n v="71"/>
  </r>
  <r>
    <s v="Never Be the Same - Radio Edit"/>
    <x v="74"/>
    <x v="0"/>
    <n v="2018"/>
    <n v="284249832"/>
    <x v="0"/>
    <n v="2107"/>
    <x v="233"/>
    <x v="103"/>
    <n v="39594"/>
    <x v="111"/>
    <n v="134"/>
    <n v="1"/>
    <n v="39265"/>
    <n v="389"/>
    <n v="81100"/>
    <x v="9"/>
    <n v="-4"/>
    <s v="Major"/>
    <x v="34"/>
    <x v="14"/>
    <n v="12"/>
    <x v="10"/>
    <n v="227"/>
    <n v="3.7833333333333332"/>
    <n v="16"/>
    <n v="9"/>
    <n v="57"/>
  </r>
  <r>
    <s v="Never Forget You"/>
    <x v="142"/>
    <x v="0"/>
    <n v="2015"/>
    <n v="1062956628"/>
    <x v="3"/>
    <n v="9514"/>
    <x v="206"/>
    <x v="110"/>
    <n v="17786"/>
    <x v="112"/>
    <n v="24"/>
    <n v="45"/>
    <n v="21541"/>
    <n v="11"/>
    <n v="48865"/>
    <x v="16"/>
    <n v="-6"/>
    <s v="Minor"/>
    <x v="32"/>
    <x v="5"/>
    <n v="27"/>
    <x v="50"/>
    <n v="213"/>
    <n v="3.55"/>
    <n v="0"/>
    <n v="5"/>
    <n v="77"/>
  </r>
  <r>
    <s v="New Rules"/>
    <x v="115"/>
    <x v="0"/>
    <n v="2018"/>
    <n v="1970673297"/>
    <x v="3"/>
    <n v="27119"/>
    <x v="234"/>
    <x v="7"/>
    <n v="14135"/>
    <x v="7"/>
    <n v="738"/>
    <n v="38"/>
    <n v="29331"/>
    <n v="205"/>
    <n v="71323"/>
    <x v="48"/>
    <n v="-6"/>
    <s v="Minor"/>
    <x v="37"/>
    <x v="11"/>
    <n v="15"/>
    <x v="31"/>
    <n v="209"/>
    <n v="3.4833333333333334"/>
    <n v="0"/>
    <n v="7"/>
    <n v="84"/>
  </r>
  <r>
    <s v="Next To Me"/>
    <x v="66"/>
    <x v="0"/>
    <n v="2013"/>
    <n v="309653982"/>
    <x v="0"/>
    <n v="2420"/>
    <x v="71"/>
    <x v="101"/>
    <n v="25260"/>
    <x v="62"/>
    <n v="4"/>
    <n v="23"/>
    <n v="36604"/>
    <n v="260"/>
    <n v="64288"/>
    <x v="56"/>
    <n v="-5"/>
    <s v="Minor"/>
    <x v="6"/>
    <x v="26"/>
    <n v="11"/>
    <x v="41"/>
    <n v="197"/>
    <n v="3.2833333333333332"/>
    <n v="9"/>
    <n v="4"/>
    <n v="60"/>
  </r>
  <r>
    <s v="Night Changes"/>
    <x v="38"/>
    <x v="15"/>
    <n v="2015"/>
    <n v="1085685420"/>
    <x v="3"/>
    <n v="9577"/>
    <x v="235"/>
    <x v="91"/>
    <n v="7455"/>
    <x v="17"/>
    <n v="2"/>
    <n v="41"/>
    <n v="25026"/>
    <n v="182"/>
    <n v="42060"/>
    <x v="7"/>
    <n v="-8"/>
    <s v="Major"/>
    <x v="30"/>
    <x v="26"/>
    <n v="12"/>
    <x v="15"/>
    <n v="227"/>
    <n v="3.7833333333333332"/>
    <n v="86"/>
    <n v="4"/>
    <n v="77"/>
  </r>
  <r>
    <s v="NO"/>
    <x v="16"/>
    <x v="0"/>
    <n v="2016"/>
    <n v="551305895"/>
    <x v="1"/>
    <n v="4449"/>
    <x v="45"/>
    <x v="143"/>
    <n v="19483"/>
    <x v="116"/>
    <n v="38"/>
    <n v="5"/>
    <n v="6591"/>
    <n v="311"/>
    <n v="30561"/>
    <x v="42"/>
    <n v="-4"/>
    <s v="Minor"/>
    <x v="6"/>
    <x v="33"/>
    <n v="74"/>
    <x v="19"/>
    <n v="214"/>
    <n v="3.5666666666666669"/>
    <n v="1"/>
    <n v="22"/>
    <n v="70"/>
  </r>
  <r>
    <s v="No Brainer (feat. Justin Bieber, Chance the Rapper &amp; Quavo)"/>
    <x v="117"/>
    <x v="0"/>
    <n v="2019"/>
    <n v="530511203"/>
    <x v="1"/>
    <n v="4284"/>
    <x v="236"/>
    <x v="8"/>
    <n v="19665"/>
    <x v="117"/>
    <n v="1891"/>
    <n v="1"/>
    <n v="30376"/>
    <n v="11"/>
    <n v="56216"/>
    <x v="1"/>
    <n v="-5"/>
    <s v="Major"/>
    <x v="1"/>
    <x v="8"/>
    <n v="9"/>
    <x v="19"/>
    <n v="260"/>
    <n v="4.333333333333333"/>
    <n v="7"/>
    <n v="34"/>
    <n v="70"/>
  </r>
  <r>
    <s v="No Guidance (feat. Drake)"/>
    <x v="143"/>
    <x v="0"/>
    <n v="2019"/>
    <n v="1555511105"/>
    <x v="3"/>
    <n v="17852"/>
    <x v="237"/>
    <x v="17"/>
    <n v="17499"/>
    <x v="45"/>
    <n v="121"/>
    <n v="42"/>
    <n v="11127"/>
    <n v="200"/>
    <n v="46599"/>
    <x v="31"/>
    <n v="-7"/>
    <s v="Minor"/>
    <x v="25"/>
    <x v="0"/>
    <n v="16"/>
    <x v="34"/>
    <n v="261"/>
    <n v="4.3499999999999996"/>
    <n v="12"/>
    <n v="15"/>
    <n v="81"/>
  </r>
  <r>
    <s v="no tears left to cry"/>
    <x v="51"/>
    <x v="0"/>
    <n v="2018"/>
    <n v="1947371785"/>
    <x v="3"/>
    <n v="26694"/>
    <x v="238"/>
    <x v="59"/>
    <n v="38191"/>
    <x v="42"/>
    <n v="250"/>
    <n v="3"/>
    <n v="38477"/>
    <n v="344"/>
    <n v="103612"/>
    <x v="47"/>
    <n v="-6"/>
    <s v="Major"/>
    <x v="0"/>
    <x v="0"/>
    <n v="29"/>
    <x v="41"/>
    <n v="206"/>
    <n v="3.4333333333333331"/>
    <n v="4"/>
    <n v="6"/>
    <n v="84"/>
  </r>
  <r>
    <s v="No Vacancy (with Sebastián Yatra)"/>
    <x v="20"/>
    <x v="0"/>
    <n v="2017"/>
    <n v="284785823"/>
    <x v="0"/>
    <n v="2110"/>
    <x v="239"/>
    <x v="154"/>
    <n v="6758"/>
    <x v="82"/>
    <n v="138"/>
    <n v="11"/>
    <n v="8669"/>
    <n v="295"/>
    <n v="17675"/>
    <x v="13"/>
    <n v="-4"/>
    <s v="Minor"/>
    <x v="1"/>
    <x v="28"/>
    <n v="14"/>
    <x v="33"/>
    <n v="223"/>
    <n v="3.7166666666666668"/>
    <n v="8"/>
    <n v="4"/>
    <n v="57"/>
  </r>
  <r>
    <s v="Not a Bad Thing"/>
    <x v="60"/>
    <x v="0"/>
    <n v="2014"/>
    <n v="1562"/>
    <x v="2"/>
    <n v="1351"/>
    <x v="240"/>
    <x v="52"/>
    <n v="34396"/>
    <x v="49"/>
    <n v="13"/>
    <n v="50"/>
    <n v="10825"/>
    <n v="239"/>
    <n v="46585"/>
    <x v="30"/>
    <n v="-6"/>
    <s v="Major"/>
    <x v="32"/>
    <x v="18"/>
    <n v="38"/>
    <x v="45"/>
    <n v="266"/>
    <n v="4.4333333333333336"/>
    <n v="27"/>
    <n v="6"/>
    <n v="0"/>
  </r>
  <r>
    <s v="Not About Angels"/>
    <x v="121"/>
    <x v="8"/>
    <n v="2014"/>
    <n v="276259178"/>
    <x v="0"/>
    <n v="2026"/>
    <x v="241"/>
    <x v="16"/>
    <n v="23654"/>
    <x v="15"/>
    <n v="2"/>
    <n v="42"/>
    <n v="21755"/>
    <n v="73"/>
    <n v="47437"/>
    <x v="48"/>
    <n v="-10"/>
    <s v="Major"/>
    <x v="66"/>
    <x v="35"/>
    <n v="9"/>
    <x v="38"/>
    <n v="190"/>
    <n v="3.1666666666666665"/>
    <n v="97"/>
    <n v="4"/>
    <n v="56"/>
  </r>
  <r>
    <s v="Not Myself Tonight"/>
    <x v="49"/>
    <x v="0"/>
    <n v="2010"/>
    <n v="273005485"/>
    <x v="0"/>
    <n v="2012"/>
    <x v="242"/>
    <x v="13"/>
    <n v="18053"/>
    <x v="16"/>
    <n v="9006"/>
    <n v="183"/>
    <n v="3530"/>
    <n v="7"/>
    <n v="32601"/>
    <x v="7"/>
    <n v="-5"/>
    <s v="Minor"/>
    <x v="36"/>
    <x v="11"/>
    <n v="56"/>
    <x v="30"/>
    <n v="186"/>
    <n v="3.1"/>
    <n v="0"/>
    <n v="4"/>
    <n v="55"/>
  </r>
  <r>
    <s v="Nothing Breaks Like a Heart (feat. Miley Cyrus)"/>
    <x v="95"/>
    <x v="0"/>
    <n v="2019"/>
    <n v="482257456"/>
    <x v="0"/>
    <n v="3879"/>
    <x v="243"/>
    <x v="143"/>
    <n v="22137"/>
    <x v="112"/>
    <n v="636"/>
    <n v="50"/>
    <n v="15872"/>
    <n v="287"/>
    <n v="42524"/>
    <x v="37"/>
    <n v="-6"/>
    <s v="Major"/>
    <x v="35"/>
    <x v="31"/>
    <n v="42"/>
    <x v="81"/>
    <n v="217"/>
    <n v="3.6166666666666667"/>
    <n v="1"/>
    <n v="7"/>
    <n v="69"/>
  </r>
  <r>
    <s v="OK - Spotify Version"/>
    <x v="144"/>
    <x v="0"/>
    <n v="2017"/>
    <n v="485285717"/>
    <x v="0"/>
    <n v="3909"/>
    <x v="244"/>
    <x v="155"/>
    <n v="10620"/>
    <x v="93"/>
    <n v="31"/>
    <n v="19"/>
    <n v="15002"/>
    <n v="126"/>
    <n v="29562"/>
    <x v="47"/>
    <n v="-6"/>
    <s v="Minor"/>
    <x v="36"/>
    <x v="34"/>
    <n v="13"/>
    <x v="46"/>
    <n v="189"/>
    <n v="3.15"/>
    <n v="12"/>
    <n v="6"/>
    <n v="69"/>
  </r>
  <r>
    <s v="OMG (feat. will.i.am)"/>
    <x v="78"/>
    <x v="21"/>
    <n v="2010"/>
    <n v="690104769"/>
    <x v="1"/>
    <n v="6036"/>
    <x v="245"/>
    <x v="156"/>
    <n v="30358"/>
    <x v="43"/>
    <n v="789"/>
    <n v="139"/>
    <n v="29428"/>
    <n v="65"/>
    <n v="66611"/>
    <x v="9"/>
    <n v="-6"/>
    <s v="Minor"/>
    <x v="18"/>
    <x v="27"/>
    <n v="36"/>
    <x v="18"/>
    <n v="269"/>
    <n v="4.4833333333333334"/>
    <n v="20"/>
    <n v="3"/>
    <n v="72"/>
  </r>
  <r>
    <s v="On My Mind"/>
    <x v="27"/>
    <x v="0"/>
    <n v="2015"/>
    <n v="374706940"/>
    <x v="0"/>
    <n v="2953"/>
    <x v="70"/>
    <x v="52"/>
    <n v="5276"/>
    <x v="49"/>
    <n v="34"/>
    <n v="15"/>
    <n v="8661"/>
    <n v="49"/>
    <n v="16924"/>
    <x v="67"/>
    <n v="-7"/>
    <s v="Major"/>
    <x v="0"/>
    <x v="0"/>
    <n v="9"/>
    <x v="23"/>
    <n v="213"/>
    <n v="3.55"/>
    <n v="26"/>
    <n v="5"/>
    <n v="65"/>
  </r>
  <r>
    <s v="On The Floor"/>
    <x v="13"/>
    <x v="0"/>
    <n v="2011"/>
    <n v="520034544"/>
    <x v="1"/>
    <n v="4214"/>
    <x v="101"/>
    <x v="157"/>
    <n v="30335"/>
    <x v="6"/>
    <n v="4364"/>
    <n v="171"/>
    <n v="18323"/>
    <n v="53"/>
    <n v="57236"/>
    <x v="9"/>
    <n v="-5"/>
    <s v="Major"/>
    <x v="24"/>
    <x v="17"/>
    <n v="7"/>
    <x v="55"/>
    <n v="285"/>
    <n v="4.75"/>
    <n v="11"/>
    <n v="5"/>
    <n v="69"/>
  </r>
  <r>
    <s v="One Call Away (feat. Tyga) - Remix"/>
    <x v="29"/>
    <x v="0"/>
    <n v="2016"/>
    <n v="222410722"/>
    <x v="2"/>
    <n v="1545"/>
    <x v="224"/>
    <x v="9"/>
    <n v="11754"/>
    <x v="20"/>
    <n v="2"/>
    <n v="15"/>
    <n v="7715"/>
    <n v="84"/>
    <n v="21016"/>
    <x v="95"/>
    <n v="-5"/>
    <s v="Major"/>
    <x v="34"/>
    <x v="1"/>
    <n v="13"/>
    <x v="11"/>
    <n v="192"/>
    <n v="3.2"/>
    <n v="26"/>
    <n v="4"/>
    <n v="41"/>
  </r>
  <r>
    <s v="One Kiss (with Dua Lipa)"/>
    <x v="41"/>
    <x v="0"/>
    <n v="2018"/>
    <n v="2322580122"/>
    <x v="3"/>
    <n v="33783"/>
    <x v="20"/>
    <x v="122"/>
    <n v="6664"/>
    <x v="63"/>
    <n v="465"/>
    <n v="44"/>
    <n v="17446"/>
    <n v="29"/>
    <n v="58358"/>
    <x v="19"/>
    <n v="-3"/>
    <s v="Minor"/>
    <x v="13"/>
    <x v="3"/>
    <n v="8"/>
    <x v="33"/>
    <n v="215"/>
    <n v="3.5833333333333335"/>
    <n v="4"/>
    <n v="11"/>
    <n v="86"/>
  </r>
  <r>
    <s v="One More Night"/>
    <x v="25"/>
    <x v="2"/>
    <n v="2012"/>
    <n v="726837877"/>
    <x v="1"/>
    <n v="6512"/>
    <x v="246"/>
    <x v="28"/>
    <n v="33301"/>
    <x v="17"/>
    <n v="3691"/>
    <n v="134"/>
    <n v="32094"/>
    <n v="36"/>
    <n v="75598"/>
    <x v="31"/>
    <n v="-3"/>
    <s v="Minor"/>
    <x v="23"/>
    <x v="25"/>
    <n v="8"/>
    <x v="60"/>
    <n v="220"/>
    <n v="3.6666666666666665"/>
    <n v="6"/>
    <n v="3"/>
    <n v="85"/>
  </r>
  <r>
    <s v="Only Girl (In The World)"/>
    <x v="21"/>
    <x v="9"/>
    <n v="2010"/>
    <n v="783706581"/>
    <x v="1"/>
    <n v="6809"/>
    <x v="247"/>
    <x v="158"/>
    <n v="1402"/>
    <x v="72"/>
    <n v="3133"/>
    <n v="71"/>
    <n v="14152"/>
    <n v="293"/>
    <n v="25496"/>
    <x v="35"/>
    <n v="-4"/>
    <s v="Minor"/>
    <x v="33"/>
    <x v="3"/>
    <n v="7"/>
    <x v="31"/>
    <n v="235"/>
    <n v="3.9166666666666665"/>
    <n v="13"/>
    <n v="4"/>
    <n v="73"/>
  </r>
  <r>
    <s v="Only Human"/>
    <x v="145"/>
    <x v="15"/>
    <n v="2019"/>
    <n v="2484812918"/>
    <x v="3"/>
    <n v="35684"/>
    <x v="20"/>
    <x v="159"/>
    <n v="1952"/>
    <x v="52"/>
    <n v="262"/>
    <n v="14"/>
    <n v="25363"/>
    <n v="39"/>
    <n v="63261"/>
    <x v="57"/>
    <n v="-6"/>
    <s v="Major"/>
    <x v="55"/>
    <x v="4"/>
    <n v="6"/>
    <x v="82"/>
    <n v="183"/>
    <n v="3.05"/>
    <n v="11"/>
    <n v="7"/>
    <n v="87"/>
  </r>
  <r>
    <s v="Only Love Can Hurt Like This"/>
    <x v="146"/>
    <x v="7"/>
    <n v="2015"/>
    <n v="505671438"/>
    <x v="1"/>
    <n v="4094"/>
    <x v="202"/>
    <x v="8"/>
    <n v="18485"/>
    <x v="117"/>
    <n v="13"/>
    <n v="14"/>
    <n v="24868"/>
    <n v="332"/>
    <n v="47460"/>
    <x v="95"/>
    <n v="-5"/>
    <s v="Minor"/>
    <x v="53"/>
    <x v="47"/>
    <n v="33"/>
    <x v="87"/>
    <n v="233"/>
    <n v="3.8833333333333333"/>
    <n v="10"/>
    <n v="8"/>
    <n v="69"/>
  </r>
  <r>
    <s v="Ooh La La (from &quot;The Smurfs 2&quot;)"/>
    <x v="0"/>
    <x v="0"/>
    <n v="2013"/>
    <n v="232896922"/>
    <x v="2"/>
    <n v="1634"/>
    <x v="248"/>
    <x v="118"/>
    <n v="33445"/>
    <x v="96"/>
    <n v="3394"/>
    <n v="19"/>
    <n v="19493"/>
    <n v="240"/>
    <n v="57966"/>
    <x v="3"/>
    <n v="-5"/>
    <s v="Minor"/>
    <x v="62"/>
    <x v="28"/>
    <n v="11"/>
    <x v="27"/>
    <n v="257"/>
    <n v="4.2833333333333332"/>
    <n v="2"/>
    <n v="5"/>
    <n v="45"/>
  </r>
  <r>
    <s v="Out Of The Woods"/>
    <x v="5"/>
    <x v="2"/>
    <n v="2016"/>
    <n v="404562836"/>
    <x v="0"/>
    <n v="3185"/>
    <x v="22"/>
    <x v="79"/>
    <n v="28182"/>
    <x v="118"/>
    <n v="1509"/>
    <n v="22"/>
    <n v="30749"/>
    <n v="28"/>
    <n v="63625"/>
    <x v="42"/>
    <n v="-7"/>
    <s v="Minor"/>
    <x v="4"/>
    <x v="12"/>
    <n v="34"/>
    <x v="9"/>
    <n v="236"/>
    <n v="3.9333333333333331"/>
    <n v="0"/>
    <n v="4"/>
    <n v="85"/>
  </r>
  <r>
    <s v="Outta Nowhere (feat. Danny Mercer)"/>
    <x v="63"/>
    <x v="0"/>
    <n v="2013"/>
    <n v="210038833"/>
    <x v="2"/>
    <n v="1474"/>
    <x v="46"/>
    <x v="52"/>
    <n v="18724"/>
    <x v="49"/>
    <n v="12"/>
    <n v="4"/>
    <n v="22170"/>
    <n v="175"/>
    <n v="42380"/>
    <x v="56"/>
    <n v="-4"/>
    <s v="Minor"/>
    <x v="4"/>
    <x v="30"/>
    <n v="21"/>
    <x v="3"/>
    <n v="207"/>
    <n v="3.45"/>
    <n v="16"/>
    <n v="3"/>
    <n v="35"/>
  </r>
  <r>
    <s v="Overdose"/>
    <x v="147"/>
    <x v="0"/>
    <n v="2013"/>
    <n v="225093344"/>
    <x v="2"/>
    <n v="1584"/>
    <x v="4"/>
    <x v="160"/>
    <n v="10007"/>
    <x v="91"/>
    <n v="582"/>
    <n v="2"/>
    <n v="5767"/>
    <n v="134"/>
    <n v="17940"/>
    <x v="2"/>
    <n v="-6"/>
    <s v="Major"/>
    <x v="37"/>
    <x v="9"/>
    <n v="6"/>
    <x v="0"/>
    <n v="227"/>
    <n v="3.7833333333333332"/>
    <n v="1"/>
    <n v="3"/>
    <n v="43"/>
  </r>
  <r>
    <s v="Papi"/>
    <x v="13"/>
    <x v="0"/>
    <n v="2011"/>
    <n v="295307001"/>
    <x v="0"/>
    <n v="2259"/>
    <x v="249"/>
    <x v="161"/>
    <n v="11384"/>
    <x v="85"/>
    <n v="6249"/>
    <n v="142"/>
    <n v="8589"/>
    <n v="267"/>
    <n v="28481"/>
    <x v="7"/>
    <n v="-5"/>
    <s v="Major"/>
    <x v="36"/>
    <x v="30"/>
    <n v="37"/>
    <x v="88"/>
    <n v="223"/>
    <n v="3.7166666666666668"/>
    <n v="13"/>
    <n v="6"/>
    <n v="58"/>
  </r>
  <r>
    <s v="Paradise"/>
    <x v="9"/>
    <x v="4"/>
    <n v="2012"/>
    <n v="1361425037"/>
    <x v="3"/>
    <n v="14749"/>
    <x v="203"/>
    <x v="115"/>
    <n v="27923"/>
    <x v="20"/>
    <n v="2163"/>
    <n v="82"/>
    <n v="30206"/>
    <n v="280"/>
    <n v="75041"/>
    <x v="23"/>
    <n v="-7"/>
    <s v="Minor"/>
    <x v="17"/>
    <x v="40"/>
    <n v="8"/>
    <x v="13"/>
    <n v="279"/>
    <n v="4.6500000000000004"/>
    <n v="5"/>
    <n v="3"/>
    <n v="79"/>
  </r>
  <r>
    <s v="Paris"/>
    <x v="3"/>
    <x v="1"/>
    <n v="2017"/>
    <n v="924193303"/>
    <x v="1"/>
    <n v="8429"/>
    <x v="250"/>
    <x v="102"/>
    <n v="31110"/>
    <x v="87"/>
    <n v="119"/>
    <n v="38"/>
    <n v="9273"/>
    <n v="189"/>
    <n v="48931"/>
    <x v="13"/>
    <n v="-7"/>
    <s v="Major"/>
    <x v="57"/>
    <x v="34"/>
    <n v="9"/>
    <x v="10"/>
    <n v="222"/>
    <n v="3.7"/>
    <n v="2"/>
    <n v="3"/>
    <n v="76"/>
  </r>
  <r>
    <s v="Part Of Me"/>
    <x v="39"/>
    <x v="0"/>
    <n v="2012"/>
    <n v="608228647"/>
    <x v="1"/>
    <n v="4963"/>
    <x v="218"/>
    <x v="9"/>
    <n v="21939"/>
    <x v="75"/>
    <n v="7961"/>
    <n v="106"/>
    <n v="16913"/>
    <n v="22"/>
    <n v="51776"/>
    <x v="9"/>
    <n v="-5"/>
    <s v="Major"/>
    <x v="2"/>
    <x v="2"/>
    <n v="7"/>
    <x v="86"/>
    <n v="216"/>
    <n v="3.6"/>
    <n v="0"/>
    <n v="4"/>
    <n v="71"/>
  </r>
  <r>
    <s v="Partition"/>
    <x v="1"/>
    <x v="0"/>
    <n v="2014"/>
    <n v="381161027"/>
    <x v="0"/>
    <n v="2988"/>
    <x v="150"/>
    <x v="25"/>
    <n v="5386"/>
    <x v="24"/>
    <n v="1"/>
    <n v="2"/>
    <n v="37969"/>
    <n v="68"/>
    <n v="46344"/>
    <x v="96"/>
    <n v="-12"/>
    <s v="Minor"/>
    <x v="47"/>
    <x v="35"/>
    <n v="31"/>
    <x v="80"/>
    <n v="319"/>
    <n v="5.3166666666666664"/>
    <n v="3"/>
    <n v="29"/>
    <n v="65"/>
  </r>
  <r>
    <s v="Party Rock Anthem"/>
    <x v="148"/>
    <x v="0"/>
    <n v="2011"/>
    <n v="686734357"/>
    <x v="1"/>
    <n v="6026"/>
    <x v="78"/>
    <x v="162"/>
    <n v="24015"/>
    <x v="20"/>
    <n v="3337"/>
    <n v="79"/>
    <n v="31968"/>
    <n v="171"/>
    <n v="65346"/>
    <x v="9"/>
    <n v="-4"/>
    <s v="Major"/>
    <x v="22"/>
    <x v="1"/>
    <n v="27"/>
    <x v="41"/>
    <n v="262"/>
    <n v="4.3666666666666663"/>
    <n v="2"/>
    <n v="16"/>
    <n v="72"/>
  </r>
  <r>
    <s v="Payphone"/>
    <x v="25"/>
    <x v="2"/>
    <n v="2012"/>
    <n v="1357608774"/>
    <x v="3"/>
    <n v="14739"/>
    <x v="155"/>
    <x v="122"/>
    <n v="21922"/>
    <x v="0"/>
    <n v="4371"/>
    <n v="107"/>
    <n v="18182"/>
    <n v="191"/>
    <n v="59214"/>
    <x v="41"/>
    <n v="-5"/>
    <s v="Major"/>
    <x v="18"/>
    <x v="22"/>
    <n v="29"/>
    <x v="35"/>
    <n v="231"/>
    <n v="3.85"/>
    <n v="2"/>
    <n v="4"/>
    <n v="85"/>
  </r>
  <r>
    <s v="People Like Us"/>
    <x v="106"/>
    <x v="0"/>
    <n v="2013"/>
    <n v="231996128"/>
    <x v="2"/>
    <n v="1622"/>
    <x v="171"/>
    <x v="74"/>
    <n v="32207"/>
    <x v="65"/>
    <n v="8"/>
    <n v="18"/>
    <n v="17566"/>
    <n v="75"/>
    <n v="51403"/>
    <x v="3"/>
    <n v="-5"/>
    <s v="Minor"/>
    <x v="35"/>
    <x v="31"/>
    <n v="36"/>
    <x v="31"/>
    <n v="259"/>
    <n v="4.3166666666666664"/>
    <n v="4"/>
    <n v="4"/>
    <n v="45"/>
  </r>
  <r>
    <s v="Pep Rally"/>
    <x v="149"/>
    <x v="0"/>
    <n v="2016"/>
    <n v="236857112"/>
    <x v="2"/>
    <n v="1647"/>
    <x v="251"/>
    <x v="13"/>
    <n v="32318"/>
    <x v="13"/>
    <n v="42"/>
    <n v="12"/>
    <n v="9570"/>
    <n v="273"/>
    <n v="43577"/>
    <x v="17"/>
    <n v="-4"/>
    <s v="Major"/>
    <x v="18"/>
    <x v="39"/>
    <n v="20"/>
    <x v="26"/>
    <n v="263"/>
    <n v="4.3833333333333337"/>
    <n v="22"/>
    <n v="12"/>
    <n v="47"/>
  </r>
  <r>
    <s v="Perfect"/>
    <x v="38"/>
    <x v="15"/>
    <n v="2015"/>
    <n v="267789608"/>
    <x v="0"/>
    <n v="1992"/>
    <x v="136"/>
    <x v="52"/>
    <n v="12637"/>
    <x v="49"/>
    <n v="11"/>
    <n v="48"/>
    <n v="9548"/>
    <n v="293"/>
    <n v="24188"/>
    <x v="13"/>
    <n v="-5"/>
    <s v="Minor"/>
    <x v="23"/>
    <x v="34"/>
    <n v="12"/>
    <x v="4"/>
    <n v="230"/>
    <n v="3.8333333333333335"/>
    <n v="6"/>
    <n v="8"/>
    <n v="55"/>
  </r>
  <r>
    <s v="Perfect Duet (Ed Sheeran &amp; Beyoncé)"/>
    <x v="26"/>
    <x v="2"/>
    <n v="2018"/>
    <n v="1163620694"/>
    <x v="3"/>
    <n v="10826"/>
    <x v="219"/>
    <x v="98"/>
    <n v="31557"/>
    <x v="83"/>
    <n v="2430"/>
    <n v="40"/>
    <n v="17984"/>
    <n v="225"/>
    <n v="62797"/>
    <x v="56"/>
    <n v="-7"/>
    <s v="Minor"/>
    <x v="67"/>
    <x v="18"/>
    <n v="12"/>
    <x v="84"/>
    <n v="260"/>
    <n v="4.333333333333333"/>
    <n v="78"/>
    <n v="3"/>
    <n v="85"/>
  </r>
  <r>
    <s v="Perfect Illusion"/>
    <x v="14"/>
    <x v="0"/>
    <n v="2016"/>
    <n v="432702334"/>
    <x v="0"/>
    <n v="3423"/>
    <x v="247"/>
    <x v="2"/>
    <n v="9634"/>
    <x v="2"/>
    <n v="173"/>
    <n v="11"/>
    <n v="32804"/>
    <n v="238"/>
    <n v="46034"/>
    <x v="10"/>
    <n v="-5"/>
    <s v="Minor"/>
    <x v="13"/>
    <x v="42"/>
    <n v="36"/>
    <x v="3"/>
    <n v="182"/>
    <n v="3.0333333333333332"/>
    <n v="0"/>
    <n v="4"/>
    <n v="67"/>
  </r>
  <r>
    <s v="Picky - Remix"/>
    <x v="150"/>
    <x v="23"/>
    <n v="2016"/>
    <n v="203436468"/>
    <x v="2"/>
    <n v="1444"/>
    <x v="252"/>
    <x v="20"/>
    <n v="8230"/>
    <x v="19"/>
    <n v="15"/>
    <n v="23"/>
    <n v="4542"/>
    <n v="233"/>
    <n v="14231"/>
    <x v="96"/>
    <n v="-3"/>
    <s v="Major"/>
    <x v="36"/>
    <x v="0"/>
    <n v="37"/>
    <x v="37"/>
    <n v="225"/>
    <n v="3.75"/>
    <n v="9"/>
    <n v="7"/>
    <n v="29"/>
  </r>
  <r>
    <s v="PILLOWTALK"/>
    <x v="85"/>
    <x v="0"/>
    <n v="2016"/>
    <n v="404664135"/>
    <x v="0"/>
    <n v="3202"/>
    <x v="253"/>
    <x v="150"/>
    <n v="6763"/>
    <x v="68"/>
    <n v="24"/>
    <n v="36"/>
    <n v="23823"/>
    <n v="333"/>
    <n v="33812"/>
    <x v="10"/>
    <n v="-4"/>
    <s v="Major"/>
    <x v="37"/>
    <x v="18"/>
    <n v="9"/>
    <x v="63"/>
    <n v="204"/>
    <n v="3.4"/>
    <n v="10"/>
    <n v="5"/>
    <n v="66"/>
  </r>
  <r>
    <s v="Play Hard (feat. Ne-Yo &amp; Akon) - New Edit"/>
    <x v="7"/>
    <x v="0"/>
    <n v="2013"/>
    <n v="446390129"/>
    <x v="0"/>
    <n v="3501"/>
    <x v="1"/>
    <x v="53"/>
    <n v="36522"/>
    <x v="119"/>
    <n v="843"/>
    <n v="4"/>
    <n v="30601"/>
    <n v="167"/>
    <n v="71467"/>
    <x v="9"/>
    <n v="-3"/>
    <s v="Major"/>
    <x v="27"/>
    <x v="25"/>
    <n v="66"/>
    <x v="74"/>
    <n v="209"/>
    <n v="3.4833333333333334"/>
    <n v="4"/>
    <n v="4"/>
    <n v="67"/>
  </r>
  <r>
    <s v="Please Don't Go"/>
    <x v="72"/>
    <x v="0"/>
    <n v="2011"/>
    <n v="346127840"/>
    <x v="0"/>
    <n v="2696"/>
    <x v="0"/>
    <x v="109"/>
    <n v="28010"/>
    <x v="63"/>
    <n v="5140"/>
    <n v="200"/>
    <n v="20412"/>
    <n v="106"/>
    <n v="56258"/>
    <x v="7"/>
    <n v="-4"/>
    <s v="Minor"/>
    <x v="8"/>
    <x v="0"/>
    <n v="13"/>
    <x v="3"/>
    <n v="197"/>
    <n v="3.2833333333333332"/>
    <n v="0"/>
    <n v="3"/>
    <n v="63"/>
  </r>
  <r>
    <s v="Pom Poms"/>
    <x v="145"/>
    <x v="15"/>
    <n v="2013"/>
    <n v="250305248"/>
    <x v="0"/>
    <n v="1888"/>
    <x v="131"/>
    <x v="9"/>
    <n v="11587"/>
    <x v="9"/>
    <n v="5"/>
    <n v="15"/>
    <n v="27116"/>
    <n v="318"/>
    <n v="40596"/>
    <x v="8"/>
    <n v="-2"/>
    <s v="Minor"/>
    <x v="68"/>
    <x v="2"/>
    <n v="28"/>
    <x v="53"/>
    <n v="198"/>
    <n v="3.3"/>
    <n v="7"/>
    <n v="9"/>
    <n v="52"/>
  </r>
  <r>
    <s v="Pompeii"/>
    <x v="151"/>
    <x v="39"/>
    <n v="2014"/>
    <n v="723894473"/>
    <x v="1"/>
    <n v="6332"/>
    <x v="107"/>
    <x v="143"/>
    <n v="568"/>
    <x v="112"/>
    <n v="8"/>
    <n v="35"/>
    <n v="8643"/>
    <n v="387"/>
    <n v="15551"/>
    <x v="53"/>
    <n v="-6"/>
    <s v="Major"/>
    <x v="33"/>
    <x v="2"/>
    <n v="27"/>
    <x v="55"/>
    <n v="214"/>
    <n v="3.5666666666666669"/>
    <n v="8"/>
    <n v="4"/>
    <n v="73"/>
  </r>
  <r>
    <s v="Prayer in C - Robin Schulz Radio Edit"/>
    <x v="152"/>
    <x v="40"/>
    <n v="2015"/>
    <n v="293466523"/>
    <x v="0"/>
    <n v="2226"/>
    <x v="75"/>
    <x v="51"/>
    <n v="19382"/>
    <x v="48"/>
    <n v="435"/>
    <n v="6"/>
    <n v="10117"/>
    <n v="197"/>
    <n v="32160"/>
    <x v="49"/>
    <n v="-5"/>
    <s v="Major"/>
    <x v="53"/>
    <x v="11"/>
    <n v="62"/>
    <x v="67"/>
    <n v="189"/>
    <n v="3.15"/>
    <n v="2"/>
    <n v="3"/>
    <n v="58"/>
  </r>
  <r>
    <s v="Praying"/>
    <x v="40"/>
    <x v="0"/>
    <n v="2017"/>
    <n v="1056760045"/>
    <x v="3"/>
    <n v="9389"/>
    <x v="141"/>
    <x v="91"/>
    <n v="39668"/>
    <x v="7"/>
    <n v="102"/>
    <n v="40"/>
    <n v="18950"/>
    <n v="89"/>
    <n v="68109"/>
    <x v="97"/>
    <n v="-7"/>
    <s v="Minor"/>
    <x v="61"/>
    <x v="5"/>
    <n v="11"/>
    <x v="26"/>
    <n v="230"/>
    <n v="3.8333333333333335"/>
    <n v="49"/>
    <n v="3"/>
    <n v="77"/>
  </r>
  <r>
    <s v="Price Tag"/>
    <x v="34"/>
    <x v="12"/>
    <n v="2011"/>
    <n v="685032533"/>
    <x v="1"/>
    <n v="5897"/>
    <x v="254"/>
    <x v="163"/>
    <n v="20663"/>
    <x v="16"/>
    <n v="6467"/>
    <n v="150"/>
    <n v="11380"/>
    <n v="204"/>
    <n v="44407"/>
    <x v="64"/>
    <n v="-4"/>
    <s v="Minor"/>
    <x v="21"/>
    <x v="32"/>
    <n v="27"/>
    <x v="74"/>
    <n v="223"/>
    <n v="3.7166666666666668"/>
    <n v="3"/>
    <n v="18"/>
    <n v="72"/>
  </r>
  <r>
    <s v="Problem"/>
    <x v="51"/>
    <x v="0"/>
    <n v="2014"/>
    <n v="863625566"/>
    <x v="1"/>
    <n v="7758"/>
    <x v="255"/>
    <x v="164"/>
    <n v="548"/>
    <x v="120"/>
    <n v="695"/>
    <n v="10"/>
    <n v="14092"/>
    <n v="4"/>
    <n v="23093"/>
    <x v="22"/>
    <n v="-5"/>
    <s v="Major"/>
    <x v="36"/>
    <x v="19"/>
    <n v="16"/>
    <x v="7"/>
    <n v="194"/>
    <n v="3.2333333333333334"/>
    <n v="2"/>
    <n v="15"/>
    <n v="75"/>
  </r>
  <r>
    <s v="Raise Your Glass"/>
    <x v="42"/>
    <x v="0"/>
    <n v="2011"/>
    <n v="218320587"/>
    <x v="2"/>
    <n v="1517"/>
    <x v="150"/>
    <x v="165"/>
    <n v="589"/>
    <x v="17"/>
    <n v="2895"/>
    <n v="52"/>
    <n v="24370"/>
    <n v="229"/>
    <n v="29371"/>
    <x v="47"/>
    <n v="-7"/>
    <s v="Major"/>
    <x v="57"/>
    <x v="2"/>
    <n v="12"/>
    <x v="1"/>
    <n v="208"/>
    <n v="3.4666666666666668"/>
    <n v="0"/>
    <n v="12"/>
    <n v="38"/>
  </r>
  <r>
    <s v="Rather Be (feat. Jess Glynne)"/>
    <x v="153"/>
    <x v="0"/>
    <n v="2015"/>
    <n v="720434240"/>
    <x v="1"/>
    <n v="6180"/>
    <x v="256"/>
    <x v="13"/>
    <n v="36702"/>
    <x v="13"/>
    <n v="57"/>
    <n v="50"/>
    <n v="26024"/>
    <n v="185"/>
    <n v="68963"/>
    <x v="26"/>
    <n v="-7"/>
    <s v="Minor"/>
    <x v="17"/>
    <x v="4"/>
    <n v="19"/>
    <x v="35"/>
    <n v="228"/>
    <n v="3.8"/>
    <n v="16"/>
    <n v="4"/>
    <n v="73"/>
  </r>
  <r>
    <s v="Reality - Radio Edit"/>
    <x v="154"/>
    <x v="41"/>
    <n v="2015"/>
    <n v="317622165"/>
    <x v="0"/>
    <n v="2461"/>
    <x v="189"/>
    <x v="8"/>
    <n v="34721"/>
    <x v="117"/>
    <n v="12"/>
    <n v="31"/>
    <n v="8272"/>
    <n v="363"/>
    <n v="45466"/>
    <x v="47"/>
    <n v="-8"/>
    <s v="Minor"/>
    <x v="37"/>
    <x v="30"/>
    <n v="7"/>
    <x v="64"/>
    <n v="159"/>
    <n v="2.65"/>
    <n v="2"/>
    <n v="3"/>
    <n v="61"/>
  </r>
  <r>
    <s v="Reality (feat. Janieck Devy) - Radio Edit"/>
    <x v="154"/>
    <x v="41"/>
    <n v="2017"/>
    <n v="301051721"/>
    <x v="0"/>
    <n v="2304"/>
    <x v="257"/>
    <x v="17"/>
    <n v="2575"/>
    <x v="45"/>
    <n v="65"/>
    <n v="43"/>
    <n v="21430"/>
    <n v="251"/>
    <n v="26374"/>
    <x v="47"/>
    <n v="-7"/>
    <s v="Minor"/>
    <x v="57"/>
    <x v="17"/>
    <n v="8"/>
    <x v="8"/>
    <n v="158"/>
    <n v="2.6333333333333333"/>
    <n v="2"/>
    <n v="4"/>
    <n v="59"/>
  </r>
  <r>
    <s v="Really Don't Care"/>
    <x v="46"/>
    <x v="0"/>
    <n v="2015"/>
    <n v="554875730"/>
    <x v="1"/>
    <n v="4526"/>
    <x v="159"/>
    <x v="47"/>
    <n v="13786"/>
    <x v="28"/>
    <n v="10"/>
    <n v="1"/>
    <n v="24011"/>
    <n v="388"/>
    <n v="42333"/>
    <x v="26"/>
    <n v="-4"/>
    <s v="Major"/>
    <x v="32"/>
    <x v="30"/>
    <n v="19"/>
    <x v="68"/>
    <n v="202"/>
    <n v="3.3666666666666667"/>
    <n v="12"/>
    <n v="9"/>
    <n v="70"/>
  </r>
  <r>
    <s v="Reggaetón Lento (Remix)"/>
    <x v="155"/>
    <x v="15"/>
    <n v="2017"/>
    <n v="588955257"/>
    <x v="1"/>
    <n v="4771"/>
    <x v="258"/>
    <x v="16"/>
    <n v="23968"/>
    <x v="15"/>
    <n v="57"/>
    <n v="11"/>
    <n v="19348"/>
    <n v="134"/>
    <n v="48144"/>
    <x v="57"/>
    <n v="-3"/>
    <s v="Major"/>
    <x v="43"/>
    <x v="8"/>
    <n v="10"/>
    <x v="60"/>
    <n v="189"/>
    <n v="3.15"/>
    <n v="15"/>
    <n v="9"/>
    <n v="71"/>
  </r>
  <r>
    <s v="Remember I Told You"/>
    <x v="64"/>
    <x v="0"/>
    <n v="2017"/>
    <n v="258714692"/>
    <x v="0"/>
    <n v="1930"/>
    <x v="150"/>
    <x v="5"/>
    <n v="24090"/>
    <x v="5"/>
    <n v="124"/>
    <n v="1"/>
    <n v="9288"/>
    <n v="20"/>
    <n v="35432"/>
    <x v="32"/>
    <n v="-6"/>
    <s v="Minor"/>
    <x v="20"/>
    <x v="2"/>
    <n v="4"/>
    <x v="40"/>
    <n v="202"/>
    <n v="3.3666666666666667"/>
    <n v="14"/>
    <n v="28"/>
    <n v="53"/>
  </r>
  <r>
    <s v="Rich Boy"/>
    <x v="156"/>
    <x v="6"/>
    <n v="2017"/>
    <n v="267758538"/>
    <x v="0"/>
    <n v="1986"/>
    <x v="45"/>
    <x v="151"/>
    <n v="16624"/>
    <x v="121"/>
    <n v="22"/>
    <n v="16"/>
    <n v="24841"/>
    <n v="292"/>
    <n v="43473"/>
    <x v="41"/>
    <n v="-2"/>
    <s v="Major"/>
    <x v="38"/>
    <x v="22"/>
    <n v="8"/>
    <x v="19"/>
    <n v="184"/>
    <n v="3.0666666666666669"/>
    <n v="7"/>
    <n v="5"/>
    <n v="55"/>
  </r>
  <r>
    <s v="Rich Love (with Seeb)"/>
    <x v="20"/>
    <x v="0"/>
    <n v="2017"/>
    <n v="540539717"/>
    <x v="1"/>
    <n v="4427"/>
    <x v="84"/>
    <x v="166"/>
    <n v="7934"/>
    <x v="122"/>
    <n v="2854"/>
    <n v="6"/>
    <n v="14678"/>
    <n v="387"/>
    <n v="29893"/>
    <x v="70"/>
    <n v="-4"/>
    <s v="Major"/>
    <x v="27"/>
    <x v="65"/>
    <n v="36"/>
    <x v="59"/>
    <n v="201"/>
    <n v="3.35"/>
    <n v="17"/>
    <n v="31"/>
    <n v="70"/>
  </r>
  <r>
    <s v="Right Now - Dyro Radio Edit"/>
    <x v="21"/>
    <x v="9"/>
    <n v="2013"/>
    <n v="223582566"/>
    <x v="2"/>
    <n v="1560"/>
    <x v="259"/>
    <x v="34"/>
    <n v="25584"/>
    <x v="30"/>
    <n v="9518"/>
    <n v="11"/>
    <n v="38741"/>
    <n v="24"/>
    <n v="75403"/>
    <x v="9"/>
    <n v="-6"/>
    <s v="Minor"/>
    <x v="22"/>
    <x v="8"/>
    <n v="24"/>
    <x v="2"/>
    <n v="186"/>
    <n v="3.1"/>
    <n v="0"/>
    <n v="4"/>
    <n v="42"/>
  </r>
  <r>
    <s v="Rise"/>
    <x v="39"/>
    <x v="0"/>
    <n v="2016"/>
    <n v="403939487"/>
    <x v="0"/>
    <n v="3133"/>
    <x v="260"/>
    <x v="48"/>
    <n v="27038"/>
    <x v="98"/>
    <n v="4"/>
    <n v="22"/>
    <n v="18559"/>
    <n v="111"/>
    <n v="48734"/>
    <x v="98"/>
    <n v="-6"/>
    <s v="Minor"/>
    <x v="57"/>
    <x v="12"/>
    <n v="11"/>
    <x v="16"/>
    <n v="203"/>
    <n v="3.3833333333333333"/>
    <n v="5"/>
    <n v="5"/>
    <n v="66"/>
  </r>
  <r>
    <s v="Roar"/>
    <x v="39"/>
    <x v="0"/>
    <n v="2013"/>
    <n v="1260594497"/>
    <x v="3"/>
    <n v="12859"/>
    <x v="186"/>
    <x v="17"/>
    <n v="38884"/>
    <x v="45"/>
    <n v="31"/>
    <n v="11"/>
    <n v="10736"/>
    <n v="356"/>
    <n v="62510"/>
    <x v="65"/>
    <n v="-5"/>
    <s v="Minor"/>
    <x v="58"/>
    <x v="12"/>
    <n v="35"/>
    <x v="45"/>
    <n v="224"/>
    <n v="3.7333333333333334"/>
    <n v="0"/>
    <n v="4"/>
    <n v="78"/>
  </r>
  <r>
    <s v="Rock N Roll"/>
    <x v="157"/>
    <x v="11"/>
    <n v="2013"/>
    <n v="323358833"/>
    <x v="0"/>
    <n v="2520"/>
    <x v="261"/>
    <x v="130"/>
    <n v="34378"/>
    <x v="101"/>
    <n v="10"/>
    <n v="23"/>
    <n v="1479"/>
    <n v="293"/>
    <n v="38387"/>
    <x v="99"/>
    <n v="-3"/>
    <s v="Major"/>
    <x v="46"/>
    <x v="46"/>
    <n v="34"/>
    <x v="77"/>
    <n v="207"/>
    <n v="3.45"/>
    <n v="1"/>
    <n v="13"/>
    <n v="61"/>
  </r>
  <r>
    <s v="Rock That Body"/>
    <x v="118"/>
    <x v="0"/>
    <n v="2010"/>
    <n v="304079786"/>
    <x v="0"/>
    <n v="2341"/>
    <x v="198"/>
    <x v="167"/>
    <n v="24418"/>
    <x v="40"/>
    <n v="5378"/>
    <n v="194"/>
    <n v="11650"/>
    <n v="63"/>
    <n v="43787"/>
    <x v="10"/>
    <n v="-6"/>
    <s v="Major"/>
    <x v="43"/>
    <x v="25"/>
    <n v="43"/>
    <x v="40"/>
    <n v="269"/>
    <n v="4.4833333333333334"/>
    <n v="2"/>
    <n v="10"/>
    <n v="59"/>
  </r>
  <r>
    <s v="Rockabye (feat. Sean Paul &amp; Anne-Marie)"/>
    <x v="153"/>
    <x v="0"/>
    <n v="2017"/>
    <n v="1180896317"/>
    <x v="3"/>
    <n v="11434"/>
    <x v="116"/>
    <x v="5"/>
    <n v="19321"/>
    <x v="5"/>
    <n v="85"/>
    <n v="1"/>
    <n v="2913"/>
    <n v="45"/>
    <n v="33753"/>
    <x v="38"/>
    <n v="-4"/>
    <s v="Major"/>
    <x v="1"/>
    <x v="25"/>
    <n v="18"/>
    <x v="23"/>
    <n v="251"/>
    <n v="4.1833333333333336"/>
    <n v="41"/>
    <n v="5"/>
    <n v="78"/>
  </r>
  <r>
    <s v="Rolling in the Deep"/>
    <x v="18"/>
    <x v="7"/>
    <n v="2011"/>
    <n v="1024858327"/>
    <x v="3"/>
    <n v="9122"/>
    <x v="235"/>
    <x v="168"/>
    <n v="1155"/>
    <x v="83"/>
    <n v="9108"/>
    <n v="132"/>
    <n v="2281"/>
    <n v="4"/>
    <n v="21666"/>
    <x v="70"/>
    <n v="-5"/>
    <s v="Minor"/>
    <x v="1"/>
    <x v="17"/>
    <n v="5"/>
    <x v="11"/>
    <n v="228"/>
    <n v="3.8"/>
    <n v="13"/>
    <n v="3"/>
    <n v="76"/>
  </r>
  <r>
    <s v="Roses"/>
    <x v="3"/>
    <x v="1"/>
    <n v="2016"/>
    <n v="797196073"/>
    <x v="1"/>
    <n v="6890"/>
    <x v="262"/>
    <x v="48"/>
    <n v="12200"/>
    <x v="107"/>
    <n v="114"/>
    <n v="1"/>
    <n v="36748"/>
    <n v="312"/>
    <n v="55952"/>
    <x v="13"/>
    <n v="-7"/>
    <s v="Major"/>
    <x v="6"/>
    <x v="30"/>
    <n v="31"/>
    <x v="9"/>
    <n v="227"/>
    <n v="3.7833333333333332"/>
    <n v="4"/>
    <n v="6"/>
    <n v="74"/>
  </r>
  <r>
    <s v="Rude"/>
    <x v="158"/>
    <x v="2"/>
    <n v="2014"/>
    <n v="1355959075"/>
    <x v="3"/>
    <n v="14311"/>
    <x v="155"/>
    <x v="63"/>
    <n v="34614"/>
    <x v="19"/>
    <n v="52"/>
    <n v="20"/>
    <n v="19241"/>
    <n v="44"/>
    <n v="68218"/>
    <x v="82"/>
    <n v="-5"/>
    <s v="Major"/>
    <x v="1"/>
    <x v="9"/>
    <n v="31"/>
    <x v="58"/>
    <n v="225"/>
    <n v="3.75"/>
    <n v="4"/>
    <n v="4"/>
    <n v="85"/>
  </r>
  <r>
    <s v="Run Away With Me"/>
    <x v="55"/>
    <x v="11"/>
    <n v="2016"/>
    <n v="342897938"/>
    <x v="0"/>
    <n v="2636"/>
    <x v="236"/>
    <x v="52"/>
    <n v="21954"/>
    <x v="49"/>
    <n v="15"/>
    <n v="11"/>
    <n v="26860"/>
    <n v="107"/>
    <n v="51465"/>
    <x v="27"/>
    <n v="-6"/>
    <s v="Major"/>
    <x v="33"/>
    <x v="33"/>
    <n v="5"/>
    <x v="10"/>
    <n v="251"/>
    <n v="4.1833333333333336"/>
    <n v="1"/>
    <n v="5"/>
    <n v="63"/>
  </r>
  <r>
    <s v="Run Run Run"/>
    <x v="106"/>
    <x v="0"/>
    <n v="2015"/>
    <n v="212109195"/>
    <x v="2"/>
    <n v="1484"/>
    <x v="207"/>
    <x v="18"/>
    <n v="34127"/>
    <x v="17"/>
    <n v="28"/>
    <n v="5"/>
    <n v="10282"/>
    <n v="77"/>
    <n v="45921"/>
    <x v="87"/>
    <n v="-7"/>
    <s v="Minor"/>
    <x v="49"/>
    <x v="24"/>
    <n v="11"/>
    <x v="79"/>
    <n v="273"/>
    <n v="4.55"/>
    <n v="45"/>
    <n v="4"/>
    <n v="36"/>
  </r>
  <r>
    <s v="Run the World (Girls)"/>
    <x v="1"/>
    <x v="0"/>
    <n v="2011"/>
    <n v="1023187129"/>
    <x v="3"/>
    <n v="9082"/>
    <x v="263"/>
    <x v="169"/>
    <n v="34087"/>
    <x v="111"/>
    <n v="6599"/>
    <n v="133"/>
    <n v="31470"/>
    <n v="333"/>
    <n v="81238"/>
    <x v="53"/>
    <n v="-4"/>
    <s v="Minor"/>
    <x v="38"/>
    <x v="17"/>
    <n v="37"/>
    <x v="49"/>
    <n v="236"/>
    <n v="3.9333333333333331"/>
    <n v="0"/>
    <n v="14"/>
    <n v="76"/>
  </r>
  <r>
    <s v="Runnin' (Lose It All)"/>
    <x v="159"/>
    <x v="42"/>
    <n v="2015"/>
    <n v="499710590"/>
    <x v="0"/>
    <n v="4049"/>
    <x v="49"/>
    <x v="11"/>
    <n v="8165"/>
    <x v="0"/>
    <n v="18"/>
    <n v="20"/>
    <n v="27830"/>
    <n v="236"/>
    <n v="40062"/>
    <x v="11"/>
    <n v="-6"/>
    <s v="Major"/>
    <x v="41"/>
    <x v="66"/>
    <n v="48"/>
    <x v="79"/>
    <n v="213"/>
    <n v="3.55"/>
    <n v="1"/>
    <n v="8"/>
    <n v="69"/>
  </r>
  <r>
    <s v="S&amp;M Remix"/>
    <x v="21"/>
    <x v="9"/>
    <n v="2011"/>
    <n v="266624541"/>
    <x v="0"/>
    <n v="1985"/>
    <x v="245"/>
    <x v="141"/>
    <n v="32918"/>
    <x v="46"/>
    <n v="9059"/>
    <n v="60"/>
    <n v="19724"/>
    <n v="112"/>
    <n v="63686"/>
    <x v="3"/>
    <n v="-3"/>
    <s v="Minor"/>
    <x v="36"/>
    <x v="7"/>
    <n v="5"/>
    <x v="88"/>
    <n v="257"/>
    <n v="4.2833333333333332"/>
    <n v="5"/>
    <n v="5"/>
    <n v="54"/>
  </r>
  <r>
    <s v="Same Old Love"/>
    <x v="33"/>
    <x v="0"/>
    <n v="2015"/>
    <n v="498960285"/>
    <x v="0"/>
    <n v="4013"/>
    <x v="117"/>
    <x v="17"/>
    <n v="32903"/>
    <x v="45"/>
    <n v="11"/>
    <n v="43"/>
    <n v="18179"/>
    <n v="74"/>
    <n v="55106"/>
    <x v="33"/>
    <n v="-4"/>
    <s v="Minor"/>
    <x v="17"/>
    <x v="26"/>
    <n v="21"/>
    <x v="16"/>
    <n v="229"/>
    <n v="3.8166666666666669"/>
    <n v="2"/>
    <n v="3"/>
    <n v="69"/>
  </r>
  <r>
    <s v="Say Something"/>
    <x v="60"/>
    <x v="0"/>
    <n v="2018"/>
    <n v="786181836"/>
    <x v="1"/>
    <n v="6821"/>
    <x v="264"/>
    <x v="44"/>
    <n v="10130"/>
    <x v="41"/>
    <n v="86"/>
    <n v="26"/>
    <n v="31682"/>
    <n v="234"/>
    <n v="48719"/>
    <x v="45"/>
    <n v="-7"/>
    <s v="Minor"/>
    <x v="60"/>
    <x v="30"/>
    <n v="8"/>
    <x v="15"/>
    <n v="279"/>
    <n v="4.6500000000000004"/>
    <n v="10"/>
    <n v="8"/>
    <n v="74"/>
  </r>
  <r>
    <s v="Say Something"/>
    <x v="160"/>
    <x v="8"/>
    <n v="2014"/>
    <n v="319566866"/>
    <x v="0"/>
    <n v="2483"/>
    <x v="5"/>
    <x v="57"/>
    <n v="26474"/>
    <x v="28"/>
    <n v="5"/>
    <n v="25"/>
    <n v="9352"/>
    <n v="251"/>
    <n v="38314"/>
    <x v="51"/>
    <n v="-9"/>
    <s v="Minor"/>
    <x v="69"/>
    <x v="40"/>
    <n v="9"/>
    <x v="76"/>
    <n v="229"/>
    <n v="3.8166666666666669"/>
    <n v="87"/>
    <n v="3"/>
    <n v="61"/>
  </r>
  <r>
    <s v="Scars To Your Beautiful"/>
    <x v="107"/>
    <x v="26"/>
    <n v="2016"/>
    <n v="1301799902"/>
    <x v="3"/>
    <n v="13801"/>
    <x v="265"/>
    <x v="9"/>
    <n v="30257"/>
    <x v="9"/>
    <n v="35"/>
    <n v="14"/>
    <n v="29278"/>
    <n v="311"/>
    <n v="73371"/>
    <x v="45"/>
    <n v="-6"/>
    <s v="Minor"/>
    <x v="22"/>
    <x v="47"/>
    <n v="11"/>
    <x v="2"/>
    <n v="230"/>
    <n v="3.8333333333333335"/>
    <n v="3"/>
    <n v="13"/>
    <n v="79"/>
  </r>
  <r>
    <s v="Secrets"/>
    <x v="20"/>
    <x v="0"/>
    <n v="2010"/>
    <n v="1133865788"/>
    <x v="3"/>
    <n v="10326"/>
    <x v="266"/>
    <x v="100"/>
    <n v="19982"/>
    <x v="121"/>
    <n v="5001"/>
    <n v="126"/>
    <n v="14514"/>
    <n v="313"/>
    <n v="49823"/>
    <x v="8"/>
    <n v="-6"/>
    <s v="Minor"/>
    <x v="1"/>
    <x v="55"/>
    <n v="12"/>
    <x v="25"/>
    <n v="225"/>
    <n v="3.75"/>
    <n v="7"/>
    <n v="4"/>
    <n v="77"/>
  </r>
  <r>
    <s v="See You Again (feat. Charlie Puth)"/>
    <x v="161"/>
    <x v="24"/>
    <n v="2015"/>
    <n v="273914335"/>
    <x v="0"/>
    <n v="2020"/>
    <x v="267"/>
    <x v="43"/>
    <n v="16092"/>
    <x v="74"/>
    <n v="17"/>
    <n v="36"/>
    <n v="7216"/>
    <n v="162"/>
    <n v="25345"/>
    <x v="52"/>
    <n v="-8"/>
    <s v="Major"/>
    <x v="50"/>
    <x v="28"/>
    <n v="6"/>
    <x v="50"/>
    <n v="230"/>
    <n v="3.8333333333333335"/>
    <n v="37"/>
    <n v="8"/>
    <n v="56"/>
  </r>
  <r>
    <s v="Send My Love (To Your New Lover)"/>
    <x v="18"/>
    <x v="7"/>
    <n v="2016"/>
    <n v="312622938"/>
    <x v="0"/>
    <n v="2459"/>
    <x v="182"/>
    <x v="52"/>
    <n v="30795"/>
    <x v="49"/>
    <n v="50"/>
    <n v="40"/>
    <n v="39754"/>
    <n v="269"/>
    <n v="73058"/>
    <x v="44"/>
    <n v="-8"/>
    <s v="Major"/>
    <x v="30"/>
    <x v="28"/>
    <n v="17"/>
    <x v="1"/>
    <n v="223"/>
    <n v="3.7166666666666668"/>
    <n v="4"/>
    <n v="10"/>
    <n v="61"/>
  </r>
  <r>
    <s v="Señorita"/>
    <x v="81"/>
    <x v="11"/>
    <n v="2019"/>
    <n v="2864791672"/>
    <x v="3"/>
    <n v="49991"/>
    <x v="167"/>
    <x v="170"/>
    <n v="14600"/>
    <x v="39"/>
    <n v="519"/>
    <n v="2"/>
    <n v="11180"/>
    <n v="279"/>
    <n v="76290"/>
    <x v="94"/>
    <n v="-6"/>
    <s v="Minor"/>
    <x v="42"/>
    <x v="11"/>
    <n v="9"/>
    <x v="44"/>
    <n v="191"/>
    <n v="3.1833333333333331"/>
    <n v="4"/>
    <n v="3"/>
    <n v="95"/>
  </r>
  <r>
    <s v="Set Fire to the Rain"/>
    <x v="18"/>
    <x v="7"/>
    <n v="2012"/>
    <n v="988515741"/>
    <x v="1"/>
    <n v="8775"/>
    <x v="250"/>
    <x v="124"/>
    <n v="37665"/>
    <x v="81"/>
    <n v="256"/>
    <n v="194"/>
    <n v="12140"/>
    <n v="90"/>
    <n v="58836"/>
    <x v="29"/>
    <n v="-4"/>
    <s v="Minor"/>
    <x v="10"/>
    <x v="42"/>
    <n v="13"/>
    <x v="59"/>
    <n v="242"/>
    <n v="4.0333333333333332"/>
    <n v="0"/>
    <n v="3"/>
    <n v="76"/>
  </r>
  <r>
    <s v="Sexy And I Know It"/>
    <x v="148"/>
    <x v="0"/>
    <n v="2011"/>
    <n v="457184829"/>
    <x v="0"/>
    <n v="3528"/>
    <x v="268"/>
    <x v="171"/>
    <n v="27018"/>
    <x v="16"/>
    <n v="7730"/>
    <n v="103"/>
    <n v="11547"/>
    <n v="390"/>
    <n v="49823"/>
    <x v="9"/>
    <n v="-4"/>
    <s v="Minor"/>
    <x v="13"/>
    <x v="30"/>
    <n v="19"/>
    <x v="29"/>
    <n v="199"/>
    <n v="3.3166666666666669"/>
    <n v="10"/>
    <n v="32"/>
    <n v="67"/>
  </r>
  <r>
    <s v="Sexy Bitch (feat. Akon)"/>
    <x v="7"/>
    <x v="0"/>
    <n v="2010"/>
    <n v="327498031"/>
    <x v="0"/>
    <n v="2537"/>
    <x v="269"/>
    <x v="69"/>
    <n v="19420"/>
    <x v="8"/>
    <n v="8183"/>
    <n v="93"/>
    <n v="15841"/>
    <n v="196"/>
    <n v="45981"/>
    <x v="9"/>
    <n v="-5"/>
    <s v="Minor"/>
    <x v="60"/>
    <x v="16"/>
    <n v="13"/>
    <x v="29"/>
    <n v="196"/>
    <n v="3.2666666666666666"/>
    <n v="8"/>
    <n v="5"/>
    <n v="61"/>
  </r>
  <r>
    <s v="Shake It Off"/>
    <x v="5"/>
    <x v="2"/>
    <n v="2014"/>
    <n v="1241559043"/>
    <x v="3"/>
    <n v="12688"/>
    <x v="186"/>
    <x v="17"/>
    <n v="20313"/>
    <x v="45"/>
    <n v="3"/>
    <n v="22"/>
    <n v="10208"/>
    <n v="362"/>
    <n v="43212"/>
    <x v="4"/>
    <n v="-5"/>
    <s v="Minor"/>
    <x v="6"/>
    <x v="34"/>
    <n v="33"/>
    <x v="89"/>
    <n v="219"/>
    <n v="3.65"/>
    <n v="6"/>
    <n v="17"/>
    <n v="78"/>
  </r>
  <r>
    <s v="Shallow - Radio Edit"/>
    <x v="14"/>
    <x v="0"/>
    <n v="2018"/>
    <n v="1424589568"/>
    <x v="3"/>
    <n v="15722"/>
    <x v="270"/>
    <x v="111"/>
    <n v="2025"/>
    <x v="123"/>
    <n v="137"/>
    <n v="15"/>
    <n v="30481"/>
    <n v="68"/>
    <n v="48365"/>
    <x v="73"/>
    <n v="-7"/>
    <s v="Major"/>
    <x v="70"/>
    <x v="47"/>
    <n v="9"/>
    <x v="50"/>
    <n v="217"/>
    <n v="3.6166666666666667"/>
    <n v="42"/>
    <n v="3"/>
    <n v="80"/>
  </r>
  <r>
    <s v="Shape of You"/>
    <x v="26"/>
    <x v="2"/>
    <n v="2017"/>
    <n v="2513188493"/>
    <x v="3"/>
    <n v="36724"/>
    <x v="20"/>
    <x v="103"/>
    <n v="1772"/>
    <x v="111"/>
    <n v="181"/>
    <n v="33"/>
    <n v="37822"/>
    <n v="185"/>
    <n v="76499"/>
    <x v="73"/>
    <n v="-3"/>
    <s v="Major"/>
    <x v="29"/>
    <x v="39"/>
    <n v="9"/>
    <x v="58"/>
    <n v="234"/>
    <n v="3.9"/>
    <n v="58"/>
    <n v="8"/>
    <n v="87"/>
  </r>
  <r>
    <s v="She Looks So Perfect"/>
    <x v="162"/>
    <x v="15"/>
    <n v="2014"/>
    <n v="599770206"/>
    <x v="1"/>
    <n v="4873"/>
    <x v="271"/>
    <x v="100"/>
    <n v="12404"/>
    <x v="85"/>
    <n v="939"/>
    <n v="1"/>
    <n v="36522"/>
    <n v="235"/>
    <n v="54738"/>
    <x v="4"/>
    <n v="-4"/>
    <s v="Minor"/>
    <x v="16"/>
    <x v="53"/>
    <n v="33"/>
    <x v="16"/>
    <n v="202"/>
    <n v="3.3666666666666667"/>
    <n v="0"/>
    <n v="13"/>
    <n v="71"/>
  </r>
  <r>
    <s v="Sheezus"/>
    <x v="163"/>
    <x v="0"/>
    <n v="2014"/>
    <n v="213438580"/>
    <x v="2"/>
    <n v="1493"/>
    <x v="272"/>
    <x v="23"/>
    <n v="25721"/>
    <x v="22"/>
    <n v="2"/>
    <n v="39"/>
    <n v="18381"/>
    <n v="323"/>
    <n v="45597"/>
    <x v="9"/>
    <n v="-7"/>
    <s v="Major"/>
    <x v="55"/>
    <x v="27"/>
    <n v="11"/>
    <x v="65"/>
    <n v="235"/>
    <n v="3.9166666666666665"/>
    <n v="15"/>
    <n v="4"/>
    <n v="37"/>
  </r>
  <r>
    <s v="Shot Me Down (feat. Skylar Grey) - Radio Edit"/>
    <x v="7"/>
    <x v="0"/>
    <n v="2014"/>
    <n v="319757142"/>
    <x v="0"/>
    <n v="2499"/>
    <x v="273"/>
    <x v="172"/>
    <n v="32162"/>
    <x v="124"/>
    <n v="17"/>
    <n v="6"/>
    <n v="17702"/>
    <n v="282"/>
    <n v="52380"/>
    <x v="84"/>
    <n v="-4"/>
    <s v="Major"/>
    <x v="58"/>
    <x v="60"/>
    <n v="12"/>
    <x v="73"/>
    <n v="191"/>
    <n v="3.1833333333333331"/>
    <n v="6"/>
    <n v="5"/>
    <n v="61"/>
  </r>
  <r>
    <s v="Shout Out to My Ex"/>
    <x v="113"/>
    <x v="0"/>
    <n v="2016"/>
    <n v="1062345656"/>
    <x v="3"/>
    <n v="9424"/>
    <x v="36"/>
    <x v="110"/>
    <n v="9878"/>
    <x v="92"/>
    <n v="65"/>
    <n v="19"/>
    <n v="25230"/>
    <n v="1"/>
    <n v="44597"/>
    <x v="35"/>
    <n v="-4"/>
    <s v="Minor"/>
    <x v="18"/>
    <x v="9"/>
    <n v="11"/>
    <x v="29"/>
    <n v="246"/>
    <n v="4.0999999999999996"/>
    <n v="2"/>
    <n v="9"/>
    <n v="77"/>
  </r>
  <r>
    <s v="Sick Boy"/>
    <x v="3"/>
    <x v="1"/>
    <n v="2018"/>
    <n v="909001996"/>
    <x v="1"/>
    <n v="8109"/>
    <x v="235"/>
    <x v="62"/>
    <n v="2837"/>
    <x v="54"/>
    <n v="131"/>
    <n v="6"/>
    <n v="33834"/>
    <n v="17"/>
    <n v="44911"/>
    <x v="17"/>
    <n v="-8"/>
    <s v="Major"/>
    <x v="39"/>
    <x v="19"/>
    <n v="12"/>
    <x v="2"/>
    <n v="193"/>
    <n v="3.2166666666666668"/>
    <n v="11"/>
    <n v="5"/>
    <n v="76"/>
  </r>
  <r>
    <s v="Side To Side"/>
    <x v="51"/>
    <x v="0"/>
    <n v="2017"/>
    <n v="1439191367"/>
    <x v="3"/>
    <n v="15890"/>
    <x v="274"/>
    <x v="49"/>
    <n v="15561"/>
    <x v="47"/>
    <n v="133"/>
    <n v="12"/>
    <n v="16763"/>
    <n v="350"/>
    <n v="48347"/>
    <x v="66"/>
    <n v="-6"/>
    <s v="Major"/>
    <x v="22"/>
    <x v="34"/>
    <n v="24"/>
    <x v="31"/>
    <n v="226"/>
    <n v="3.7666666666666666"/>
    <n v="5"/>
    <n v="23"/>
    <n v="80"/>
  </r>
  <r>
    <s v="Sign of the Times"/>
    <x v="164"/>
    <x v="0"/>
    <n v="2018"/>
    <n v="618885532"/>
    <x v="1"/>
    <n v="5140"/>
    <x v="31"/>
    <x v="97"/>
    <n v="30112"/>
    <x v="97"/>
    <n v="76"/>
    <n v="20"/>
    <n v="17081"/>
    <n v="42"/>
    <n v="52409"/>
    <x v="7"/>
    <n v="-5"/>
    <s v="Major"/>
    <x v="62"/>
    <x v="55"/>
    <n v="11"/>
    <x v="75"/>
    <n v="341"/>
    <n v="5.6833333333333336"/>
    <n v="3"/>
    <n v="3"/>
    <n v="72"/>
  </r>
  <r>
    <s v="Silence"/>
    <x v="105"/>
    <x v="32"/>
    <n v="2018"/>
    <n v="1695712020"/>
    <x v="3"/>
    <n v="21164"/>
    <x v="13"/>
    <x v="173"/>
    <n v="26131"/>
    <x v="81"/>
    <n v="107"/>
    <n v="1"/>
    <n v="16590"/>
    <n v="127"/>
    <n v="63992"/>
    <x v="15"/>
    <n v="-3"/>
    <s v="Major"/>
    <x v="1"/>
    <x v="55"/>
    <n v="17"/>
    <x v="51"/>
    <n v="181"/>
    <n v="3.0166666666666666"/>
    <n v="26"/>
    <n v="9"/>
    <n v="82"/>
  </r>
  <r>
    <s v="Sing"/>
    <x v="26"/>
    <x v="2"/>
    <n v="2015"/>
    <n v="596152090"/>
    <x v="1"/>
    <n v="4846"/>
    <x v="275"/>
    <x v="144"/>
    <n v="20393"/>
    <x v="113"/>
    <n v="17"/>
    <n v="24"/>
    <n v="20944"/>
    <n v="79"/>
    <n v="46200"/>
    <x v="7"/>
    <n v="-4"/>
    <s v="Major"/>
    <x v="31"/>
    <x v="7"/>
    <n v="6"/>
    <x v="89"/>
    <n v="235"/>
    <n v="3.9166666666666665"/>
    <n v="30"/>
    <n v="5"/>
    <n v="71"/>
  </r>
  <r>
    <s v="Slide (feat. Frank Ocean &amp; Migos)"/>
    <x v="41"/>
    <x v="0"/>
    <n v="2017"/>
    <n v="838586769"/>
    <x v="1"/>
    <n v="7556"/>
    <x v="276"/>
    <x v="143"/>
    <n v="21274"/>
    <x v="92"/>
    <n v="159"/>
    <n v="11"/>
    <n v="16197"/>
    <n v="311"/>
    <n v="45186"/>
    <x v="50"/>
    <n v="-3"/>
    <s v="Major"/>
    <x v="6"/>
    <x v="22"/>
    <n v="25"/>
    <x v="71"/>
    <n v="231"/>
    <n v="3.85"/>
    <n v="50"/>
    <n v="5"/>
    <n v="75"/>
  </r>
  <r>
    <s v="Slow Hands"/>
    <x v="165"/>
    <x v="0"/>
    <n v="2017"/>
    <n v="355219175"/>
    <x v="0"/>
    <n v="2785"/>
    <x v="108"/>
    <x v="5"/>
    <n v="38482"/>
    <x v="5"/>
    <n v="46"/>
    <n v="48"/>
    <n v="39572"/>
    <n v="368"/>
    <n v="80885"/>
    <x v="30"/>
    <n v="-7"/>
    <s v="Major"/>
    <x v="64"/>
    <x v="22"/>
    <n v="6"/>
    <x v="68"/>
    <n v="188"/>
    <n v="3.1333333333333333"/>
    <n v="1"/>
    <n v="5"/>
    <n v="64"/>
  </r>
  <r>
    <s v="Some Nights"/>
    <x v="166"/>
    <x v="43"/>
    <n v="2012"/>
    <n v="675039469"/>
    <x v="1"/>
    <n v="5724"/>
    <x v="54"/>
    <x v="174"/>
    <n v="26788"/>
    <x v="82"/>
    <n v="2312"/>
    <n v="74"/>
    <n v="10902"/>
    <n v="391"/>
    <n v="45726"/>
    <x v="29"/>
    <n v="-7"/>
    <s v="Major"/>
    <x v="22"/>
    <x v="26"/>
    <n v="9"/>
    <x v="65"/>
    <n v="277"/>
    <n v="4.6166666666666663"/>
    <n v="2"/>
    <n v="5"/>
    <n v="72"/>
  </r>
  <r>
    <s v="Someone Like You"/>
    <x v="18"/>
    <x v="7"/>
    <n v="2011"/>
    <n v="3743895074"/>
    <x v="3"/>
    <n v="60979"/>
    <x v="167"/>
    <x v="52"/>
    <n v="776"/>
    <x v="83"/>
    <n v="9944"/>
    <n v="161"/>
    <n v="60252"/>
    <n v="107"/>
    <n v="131951"/>
    <x v="0"/>
    <n v="-8"/>
    <s v="Major"/>
    <x v="70"/>
    <x v="33"/>
    <n v="10"/>
    <x v="50"/>
    <n v="285"/>
    <n v="4.75"/>
    <n v="89"/>
    <n v="3"/>
    <n v="98"/>
  </r>
  <r>
    <s v="Someone You Loved"/>
    <x v="167"/>
    <x v="2"/>
    <n v="2019"/>
    <n v="2887241814"/>
    <x v="3"/>
    <n v="50887"/>
    <x v="167"/>
    <x v="175"/>
    <n v="60069"/>
    <x v="125"/>
    <n v="1481"/>
    <n v="15"/>
    <n v="3169"/>
    <n v="282"/>
    <n v="115606"/>
    <x v="41"/>
    <n v="-6"/>
    <s v="Major"/>
    <x v="11"/>
    <x v="45"/>
    <n v="11"/>
    <x v="2"/>
    <n v="182"/>
    <n v="3.0333333333333332"/>
    <n v="75"/>
    <n v="3"/>
    <n v="96"/>
  </r>
  <r>
    <s v="Something Just Like This"/>
    <x v="3"/>
    <x v="1"/>
    <n v="2017"/>
    <n v="1200808494"/>
    <x v="3"/>
    <n v="11500"/>
    <x v="277"/>
    <x v="131"/>
    <n v="17900"/>
    <x v="103"/>
    <n v="43"/>
    <n v="18"/>
    <n v="21155"/>
    <n v="288"/>
    <n v="50598"/>
    <x v="22"/>
    <n v="-7"/>
    <s v="Minor"/>
    <x v="29"/>
    <x v="42"/>
    <n v="17"/>
    <x v="71"/>
    <n v="248"/>
    <n v="4.1333333333333337"/>
    <n v="3"/>
    <n v="4"/>
    <n v="78"/>
  </r>
  <r>
    <s v="Something's Got A Hold On Me - Burlesque Original Motion Picture Soundtrack"/>
    <x v="49"/>
    <x v="0"/>
    <n v="2010"/>
    <n v="295998468"/>
    <x v="0"/>
    <n v="2264"/>
    <x v="94"/>
    <x v="133"/>
    <n v="15186"/>
    <x v="28"/>
    <n v="6451"/>
    <n v="154"/>
    <n v="26500"/>
    <n v="272"/>
    <n v="50401"/>
    <x v="28"/>
    <n v="-4"/>
    <s v="Major"/>
    <x v="41"/>
    <x v="15"/>
    <n v="12"/>
    <x v="54"/>
    <n v="185"/>
    <n v="3.0833333333333335"/>
    <n v="47"/>
    <n v="27"/>
    <n v="58"/>
  </r>
  <r>
    <s v="Sorry"/>
    <x v="30"/>
    <x v="11"/>
    <n v="2015"/>
    <n v="1624165576"/>
    <x v="3"/>
    <n v="20015"/>
    <x v="278"/>
    <x v="9"/>
    <n v="21714"/>
    <x v="9"/>
    <n v="13"/>
    <n v="11"/>
    <n v="8127"/>
    <n v="201"/>
    <n v="49869"/>
    <x v="13"/>
    <n v="-4"/>
    <s v="Major"/>
    <x v="1"/>
    <x v="34"/>
    <n v="30"/>
    <x v="62"/>
    <n v="201"/>
    <n v="3.35"/>
    <n v="8"/>
    <n v="5"/>
    <n v="81"/>
  </r>
  <r>
    <s v="Sorry Not Sorry"/>
    <x v="46"/>
    <x v="0"/>
    <n v="2018"/>
    <n v="1592909789"/>
    <x v="3"/>
    <n v="18773"/>
    <x v="38"/>
    <x v="176"/>
    <n v="22644"/>
    <x v="126"/>
    <n v="283"/>
    <n v="49"/>
    <n v="15861"/>
    <n v="208"/>
    <n v="57561"/>
    <x v="82"/>
    <n v="-7"/>
    <s v="Minor"/>
    <x v="57"/>
    <x v="30"/>
    <n v="26"/>
    <x v="88"/>
    <n v="204"/>
    <n v="3.4"/>
    <n v="2"/>
    <n v="23"/>
    <n v="81"/>
  </r>
  <r>
    <s v="South of the Border (feat. Camila Cabello &amp; Cardi B)"/>
    <x v="26"/>
    <x v="2"/>
    <n v="2019"/>
    <n v="2713922350"/>
    <x v="3"/>
    <n v="43899"/>
    <x v="167"/>
    <x v="127"/>
    <n v="11572"/>
    <x v="97"/>
    <n v="5"/>
    <n v="45"/>
    <n v="11857"/>
    <n v="86"/>
    <n v="67333"/>
    <x v="33"/>
    <n v="-6"/>
    <s v="Major"/>
    <x v="9"/>
    <x v="63"/>
    <n v="9"/>
    <x v="77"/>
    <n v="204"/>
    <n v="3.4"/>
    <n v="15"/>
    <n v="8"/>
    <n v="92"/>
  </r>
  <r>
    <s v="Spark The Fire"/>
    <x v="31"/>
    <x v="0"/>
    <n v="2015"/>
    <n v="221409663"/>
    <x v="2"/>
    <n v="1524"/>
    <x v="279"/>
    <x v="122"/>
    <n v="39391"/>
    <x v="63"/>
    <n v="91"/>
    <n v="19"/>
    <n v="31294"/>
    <n v="294"/>
    <n v="72300"/>
    <x v="7"/>
    <n v="-4"/>
    <s v="Minor"/>
    <x v="6"/>
    <x v="67"/>
    <n v="20"/>
    <x v="30"/>
    <n v="202"/>
    <n v="3.3666666666666667"/>
    <n v="8"/>
    <n v="6"/>
    <n v="39"/>
  </r>
  <r>
    <s v="Sparks"/>
    <x v="128"/>
    <x v="0"/>
    <n v="2015"/>
    <n v="229473310"/>
    <x v="2"/>
    <n v="1602"/>
    <x v="159"/>
    <x v="81"/>
    <n v="10029"/>
    <x v="46"/>
    <n v="2733"/>
    <n v="1"/>
    <n v="21188"/>
    <n v="269"/>
    <n v="35552"/>
    <x v="47"/>
    <n v="-5"/>
    <s v="Major"/>
    <x v="8"/>
    <x v="36"/>
    <n v="10"/>
    <x v="0"/>
    <n v="186"/>
    <n v="3.1"/>
    <n v="4"/>
    <n v="6"/>
    <n v="44"/>
  </r>
  <r>
    <s v="St Jude"/>
    <x v="80"/>
    <x v="25"/>
    <n v="2015"/>
    <n v="236940480"/>
    <x v="2"/>
    <n v="1657"/>
    <x v="280"/>
    <x v="34"/>
    <n v="31220"/>
    <x v="32"/>
    <n v="32"/>
    <n v="2"/>
    <n v="12956"/>
    <n v="292"/>
    <n v="45865"/>
    <x v="94"/>
    <n v="-11"/>
    <s v="Major"/>
    <x v="71"/>
    <x v="48"/>
    <n v="11"/>
    <x v="76"/>
    <n v="225"/>
    <n v="3.75"/>
    <n v="75"/>
    <n v="3"/>
    <n v="47"/>
  </r>
  <r>
    <s v="Starboy"/>
    <x v="86"/>
    <x v="26"/>
    <n v="2017"/>
    <n v="2204080728"/>
    <x v="3"/>
    <n v="31123"/>
    <x v="157"/>
    <x v="110"/>
    <n v="12978"/>
    <x v="92"/>
    <n v="32"/>
    <n v="21"/>
    <n v="17264"/>
    <n v="34"/>
    <n v="61397"/>
    <x v="96"/>
    <n v="-7"/>
    <s v="Major"/>
    <x v="17"/>
    <x v="2"/>
    <n v="14"/>
    <x v="39"/>
    <n v="230"/>
    <n v="3.8333333333333335"/>
    <n v="14"/>
    <n v="28"/>
    <n v="85"/>
  </r>
  <r>
    <s v="Starships"/>
    <x v="22"/>
    <x v="0"/>
    <n v="2012"/>
    <n v="741301563"/>
    <x v="1"/>
    <n v="6518"/>
    <x v="281"/>
    <x v="177"/>
    <n v="11608"/>
    <x v="83"/>
    <n v="7865"/>
    <n v="109"/>
    <n v="24054"/>
    <n v="82"/>
    <n v="50045"/>
    <x v="10"/>
    <n v="-2"/>
    <s v="Major"/>
    <x v="33"/>
    <x v="1"/>
    <n v="25"/>
    <x v="44"/>
    <n v="211"/>
    <n v="3.5166666666666666"/>
    <n v="14"/>
    <n v="8"/>
    <n v="73"/>
  </r>
  <r>
    <s v="Start"/>
    <x v="19"/>
    <x v="8"/>
    <n v="2016"/>
    <n v="236872197"/>
    <x v="2"/>
    <n v="1652"/>
    <x v="246"/>
    <x v="16"/>
    <n v="7758"/>
    <x v="15"/>
    <n v="38"/>
    <n v="2"/>
    <n v="9162"/>
    <n v="381"/>
    <n v="18610"/>
    <x v="41"/>
    <n v="-15"/>
    <s v="Major"/>
    <x v="72"/>
    <x v="55"/>
    <n v="9"/>
    <x v="6"/>
    <n v="310"/>
    <n v="5.166666666666667"/>
    <n v="99"/>
    <n v="4"/>
    <n v="47"/>
  </r>
  <r>
    <s v="Starving"/>
    <x v="61"/>
    <x v="0"/>
    <n v="2016"/>
    <n v="1205951614"/>
    <x v="3"/>
    <n v="11975"/>
    <x v="250"/>
    <x v="170"/>
    <n v="38776"/>
    <x v="39"/>
    <n v="44"/>
    <n v="1"/>
    <n v="16374"/>
    <n v="269"/>
    <n v="67169"/>
    <x v="13"/>
    <n v="-4"/>
    <s v="Major"/>
    <x v="9"/>
    <x v="17"/>
    <n v="11"/>
    <x v="71"/>
    <n v="182"/>
    <n v="3.0333333333333332"/>
    <n v="38"/>
    <n v="6"/>
    <n v="78"/>
  </r>
  <r>
    <s v="Stay"/>
    <x v="65"/>
    <x v="22"/>
    <n v="2017"/>
    <n v="1435127549"/>
    <x v="3"/>
    <n v="15867"/>
    <x v="220"/>
    <x v="20"/>
    <n v="28325"/>
    <x v="53"/>
    <n v="396"/>
    <n v="49"/>
    <n v="17483"/>
    <n v="53"/>
    <n v="62071"/>
    <x v="38"/>
    <n v="-5"/>
    <s v="Minor"/>
    <x v="9"/>
    <x v="28"/>
    <n v="12"/>
    <x v="30"/>
    <n v="210"/>
    <n v="3.5"/>
    <n v="25"/>
    <n v="6"/>
    <n v="80"/>
  </r>
  <r>
    <s v="Stay The Night - Featuring Hayley Williams Of Paramore"/>
    <x v="65"/>
    <x v="22"/>
    <n v="2014"/>
    <n v="363369738"/>
    <x v="0"/>
    <n v="2839"/>
    <x v="171"/>
    <x v="138"/>
    <n v="12916"/>
    <x v="109"/>
    <n v="748"/>
    <n v="29"/>
    <n v="29774"/>
    <n v="184"/>
    <n v="46277"/>
    <x v="3"/>
    <n v="-3"/>
    <s v="Major"/>
    <x v="22"/>
    <x v="31"/>
    <n v="9"/>
    <x v="45"/>
    <n v="217"/>
    <n v="3.6166666666666667"/>
    <n v="11"/>
    <n v="4"/>
    <n v="64"/>
  </r>
  <r>
    <s v="Stay With Me"/>
    <x v="112"/>
    <x v="2"/>
    <n v="2014"/>
    <n v="2236667932"/>
    <x v="3"/>
    <n v="31358"/>
    <x v="42"/>
    <x v="178"/>
    <n v="35704"/>
    <x v="127"/>
    <n v="3"/>
    <n v="29"/>
    <n v="23939"/>
    <n v="303"/>
    <n v="91004"/>
    <x v="34"/>
    <n v="-6"/>
    <s v="Minor"/>
    <x v="64"/>
    <x v="13"/>
    <n v="11"/>
    <x v="61"/>
    <n v="173"/>
    <n v="2.8833333333333333"/>
    <n v="59"/>
    <n v="4"/>
    <n v="85"/>
  </r>
  <r>
    <s v="Steal My Girl"/>
    <x v="38"/>
    <x v="15"/>
    <n v="2015"/>
    <n v="245350949"/>
    <x v="2"/>
    <n v="1795"/>
    <x v="119"/>
    <x v="148"/>
    <n v="32725"/>
    <x v="128"/>
    <n v="44"/>
    <n v="14"/>
    <n v="27552"/>
    <n v="33"/>
    <n v="62116"/>
    <x v="69"/>
    <n v="-6"/>
    <s v="Major"/>
    <x v="1"/>
    <x v="46"/>
    <n v="14"/>
    <x v="11"/>
    <n v="227"/>
    <n v="3.7833333333333332"/>
    <n v="0"/>
    <n v="4"/>
    <n v="51"/>
  </r>
  <r>
    <s v="Stereo Hearts (feat. Adam Levine)"/>
    <x v="168"/>
    <x v="0"/>
    <n v="2012"/>
    <n v="265882712"/>
    <x v="0"/>
    <n v="1966"/>
    <x v="282"/>
    <x v="108"/>
    <n v="35706"/>
    <x v="59"/>
    <n v="8756"/>
    <n v="73"/>
    <n v="20061"/>
    <n v="258"/>
    <n v="66489"/>
    <x v="17"/>
    <n v="-3"/>
    <s v="Major"/>
    <x v="6"/>
    <x v="34"/>
    <n v="27"/>
    <x v="29"/>
    <n v="211"/>
    <n v="3.5166666666666666"/>
    <n v="3"/>
    <n v="10"/>
    <n v="54"/>
  </r>
  <r>
    <s v="Stitches"/>
    <x v="81"/>
    <x v="11"/>
    <n v="2015"/>
    <n v="1223481149"/>
    <x v="3"/>
    <n v="12382"/>
    <x v="99"/>
    <x v="31"/>
    <n v="13152"/>
    <x v="29"/>
    <n v="15"/>
    <n v="30"/>
    <n v="22451"/>
    <n v="393"/>
    <n v="48000"/>
    <x v="28"/>
    <n v="-7"/>
    <s v="Major"/>
    <x v="18"/>
    <x v="1"/>
    <n v="5"/>
    <x v="49"/>
    <n v="207"/>
    <n v="3.45"/>
    <n v="2"/>
    <n v="7"/>
    <n v="78"/>
  </r>
  <r>
    <s v="Story of My Life"/>
    <x v="38"/>
    <x v="15"/>
    <n v="2013"/>
    <n v="1687664027"/>
    <x v="3"/>
    <n v="21081"/>
    <x v="13"/>
    <x v="49"/>
    <n v="29137"/>
    <x v="47"/>
    <n v="15"/>
    <n v="1"/>
    <n v="1597"/>
    <n v="72"/>
    <n v="51830"/>
    <x v="26"/>
    <n v="-6"/>
    <s v="Major"/>
    <x v="12"/>
    <x v="31"/>
    <n v="12"/>
    <x v="51"/>
    <n v="245"/>
    <n v="4.083333333333333"/>
    <n v="23"/>
    <n v="5"/>
    <n v="81"/>
  </r>
  <r>
    <s v="Strip That Down (feat. Quavo)"/>
    <x v="90"/>
    <x v="0"/>
    <n v="2017"/>
    <n v="489945871"/>
    <x v="0"/>
    <n v="3956"/>
    <x v="283"/>
    <x v="118"/>
    <n v="25856"/>
    <x v="96"/>
    <n v="2726"/>
    <n v="6"/>
    <n v="2303"/>
    <n v="182"/>
    <n v="34841"/>
    <x v="40"/>
    <n v="-5"/>
    <s v="Major"/>
    <x v="55"/>
    <x v="68"/>
    <n v="8"/>
    <x v="35"/>
    <n v="202"/>
    <n v="3.3666666666666667"/>
    <n v="20"/>
    <n v="5"/>
    <n v="69"/>
  </r>
  <r>
    <s v="Stronger (What Doesn't Kill You)"/>
    <x v="106"/>
    <x v="0"/>
    <n v="2012"/>
    <n v="812019557"/>
    <x v="1"/>
    <n v="7215"/>
    <x v="284"/>
    <x v="179"/>
    <n v="38193"/>
    <x v="6"/>
    <n v="7749"/>
    <n v="139"/>
    <n v="11672"/>
    <n v="138"/>
    <n v="64829"/>
    <x v="48"/>
    <n v="-4"/>
    <s v="Major"/>
    <x v="48"/>
    <x v="33"/>
    <n v="11"/>
    <x v="74"/>
    <n v="222"/>
    <n v="3.7"/>
    <n v="5"/>
    <n v="5"/>
    <n v="74"/>
  </r>
  <r>
    <s v="Sucker"/>
    <x v="145"/>
    <x v="15"/>
    <n v="2019"/>
    <n v="2288695111"/>
    <x v="3"/>
    <n v="33032"/>
    <x v="42"/>
    <x v="180"/>
    <n v="11042"/>
    <x v="129"/>
    <n v="4534"/>
    <n v="2"/>
    <n v="39397"/>
    <n v="307"/>
    <n v="88005"/>
    <x v="51"/>
    <n v="-5"/>
    <s v="Major"/>
    <x v="32"/>
    <x v="58"/>
    <n v="11"/>
    <x v="70"/>
    <n v="181"/>
    <n v="3.0166666666666666"/>
    <n v="4"/>
    <n v="6"/>
    <n v="86"/>
  </r>
  <r>
    <s v="Sugar"/>
    <x v="25"/>
    <x v="2"/>
    <n v="2015"/>
    <n v="1641426668"/>
    <x v="3"/>
    <n v="20111"/>
    <x v="137"/>
    <x v="136"/>
    <n v="18463"/>
    <x v="105"/>
    <n v="4"/>
    <n v="30"/>
    <n v="15267"/>
    <n v="26"/>
    <n v="53845"/>
    <x v="7"/>
    <n v="-7"/>
    <s v="Major"/>
    <x v="35"/>
    <x v="1"/>
    <n v="9"/>
    <x v="56"/>
    <n v="235"/>
    <n v="3.9166666666666665"/>
    <n v="6"/>
    <n v="3"/>
    <n v="81"/>
  </r>
  <r>
    <s v="Sugar"/>
    <x v="25"/>
    <x v="2"/>
    <n v="2015"/>
    <n v="405136812"/>
    <x v="0"/>
    <n v="3221"/>
    <x v="57"/>
    <x v="47"/>
    <n v="25228"/>
    <x v="44"/>
    <n v="3"/>
    <n v="27"/>
    <n v="28483"/>
    <n v="38"/>
    <n v="56935"/>
    <x v="7"/>
    <n v="-7"/>
    <s v="Major"/>
    <x v="35"/>
    <x v="1"/>
    <n v="9"/>
    <x v="56"/>
    <n v="235"/>
    <n v="3.9166666666666665"/>
    <n v="6"/>
    <n v="3"/>
    <n v="66"/>
  </r>
  <r>
    <s v="Sugar (feat. Francesco Yates)"/>
    <x v="144"/>
    <x v="0"/>
    <n v="2015"/>
    <n v="305771063"/>
    <x v="0"/>
    <n v="2393"/>
    <x v="0"/>
    <x v="85"/>
    <n v="28819"/>
    <x v="23"/>
    <n v="31"/>
    <n v="43"/>
    <n v="26709"/>
    <n v="179"/>
    <n v="57952"/>
    <x v="49"/>
    <n v="-5"/>
    <s v="Minor"/>
    <x v="23"/>
    <x v="32"/>
    <n v="16"/>
    <x v="47"/>
    <n v="219"/>
    <n v="3.65"/>
    <n v="2"/>
    <n v="6"/>
    <n v="60"/>
  </r>
  <r>
    <s v="Suit &amp; Tie"/>
    <x v="60"/>
    <x v="0"/>
    <n v="2013"/>
    <n v="476244795"/>
    <x v="0"/>
    <n v="3763"/>
    <x v="29"/>
    <x v="121"/>
    <n v="10226"/>
    <x v="98"/>
    <n v="974"/>
    <n v="1"/>
    <n v="33388"/>
    <n v="212"/>
    <n v="48351"/>
    <x v="38"/>
    <n v="-4"/>
    <s v="Major"/>
    <x v="19"/>
    <x v="4"/>
    <n v="16"/>
    <x v="84"/>
    <n v="326"/>
    <n v="5.4333333333333336"/>
    <n v="10"/>
    <n v="22"/>
    <n v="68"/>
  </r>
  <r>
    <s v="Summer"/>
    <x v="41"/>
    <x v="0"/>
    <n v="2014"/>
    <n v="1472799873"/>
    <x v="3"/>
    <n v="17138"/>
    <x v="274"/>
    <x v="52"/>
    <n v="39392"/>
    <x v="49"/>
    <n v="8"/>
    <n v="24"/>
    <n v="25917"/>
    <n v="217"/>
    <n v="82455"/>
    <x v="3"/>
    <n v="-4"/>
    <s v="Minor"/>
    <x v="13"/>
    <x v="31"/>
    <n v="14"/>
    <x v="23"/>
    <n v="223"/>
    <n v="3.7166666666666668"/>
    <n v="2"/>
    <n v="3"/>
    <n v="80"/>
  </r>
  <r>
    <s v="Summer Bummer (feat. A$AP Rocky &amp; Playboi Carti)"/>
    <x v="129"/>
    <x v="25"/>
    <n v="2017"/>
    <n v="430977451"/>
    <x v="0"/>
    <n v="3408"/>
    <x v="109"/>
    <x v="112"/>
    <n v="17556"/>
    <x v="130"/>
    <n v="43"/>
    <n v="31"/>
    <n v="34668"/>
    <n v="333"/>
    <n v="55675"/>
    <x v="0"/>
    <n v="-9"/>
    <s v="Major"/>
    <x v="62"/>
    <x v="11"/>
    <n v="20"/>
    <x v="34"/>
    <n v="261"/>
    <n v="4.3499999999999996"/>
    <n v="2"/>
    <n v="13"/>
    <n v="67"/>
  </r>
  <r>
    <s v="Summertime Sadness (Lana Del Rey Vs. Cedric Gervais) - Cedric Gervais Remix"/>
    <x v="129"/>
    <x v="25"/>
    <n v="2013"/>
    <n v="807561936"/>
    <x v="1"/>
    <n v="7124"/>
    <x v="285"/>
    <x v="181"/>
    <n v="3831"/>
    <x v="121"/>
    <n v="247"/>
    <n v="1"/>
    <n v="38765"/>
    <n v="65"/>
    <n v="49967"/>
    <x v="35"/>
    <n v="-6"/>
    <s v="Major"/>
    <x v="36"/>
    <x v="47"/>
    <n v="13"/>
    <x v="28"/>
    <n v="215"/>
    <n v="3.5833333333333335"/>
    <n v="2"/>
    <n v="6"/>
    <n v="74"/>
  </r>
  <r>
    <s v="Super Bass"/>
    <x v="22"/>
    <x v="0"/>
    <n v="2011"/>
    <n v="219196651"/>
    <x v="2"/>
    <n v="1517"/>
    <x v="286"/>
    <x v="22"/>
    <n v="37555"/>
    <x v="42"/>
    <n v="7620"/>
    <n v="173"/>
    <n v="15579"/>
    <n v="361"/>
    <n v="62271"/>
    <x v="53"/>
    <n v="-7"/>
    <s v="Minor"/>
    <x v="22"/>
    <x v="9"/>
    <n v="40"/>
    <x v="33"/>
    <n v="201"/>
    <n v="3.35"/>
    <n v="6"/>
    <n v="23"/>
    <n v="38"/>
  </r>
  <r>
    <s v="Supernova"/>
    <x v="169"/>
    <x v="0"/>
    <n v="2018"/>
    <n v="611700552"/>
    <x v="1"/>
    <n v="5115"/>
    <x v="287"/>
    <x v="27"/>
    <n v="37437"/>
    <x v="26"/>
    <n v="177"/>
    <n v="4"/>
    <n v="13939"/>
    <n v="380"/>
    <n v="56668"/>
    <x v="23"/>
    <n v="-5"/>
    <s v="Major"/>
    <x v="9"/>
    <x v="9"/>
    <n v="21"/>
    <x v="74"/>
    <n v="191"/>
    <n v="3.1833333333333331"/>
    <n v="6"/>
    <n v="10"/>
    <n v="72"/>
  </r>
  <r>
    <s v="Supplies"/>
    <x v="60"/>
    <x v="0"/>
    <n v="2018"/>
    <n v="283359161"/>
    <x v="0"/>
    <n v="2096"/>
    <x v="103"/>
    <x v="52"/>
    <n v="31770"/>
    <x v="49"/>
    <n v="80"/>
    <n v="2"/>
    <n v="13946"/>
    <n v="350"/>
    <n v="47892"/>
    <x v="7"/>
    <n v="-7"/>
    <s v="Major"/>
    <x v="26"/>
    <x v="3"/>
    <n v="13"/>
    <x v="38"/>
    <n v="226"/>
    <n v="3.7666666666666666"/>
    <n v="1"/>
    <n v="5"/>
    <n v="57"/>
  </r>
  <r>
    <s v="Sweet Nothing (feat. Florence Welch)"/>
    <x v="41"/>
    <x v="0"/>
    <n v="2013"/>
    <n v="674772936"/>
    <x v="1"/>
    <n v="5669"/>
    <x v="288"/>
    <x v="17"/>
    <n v="21089"/>
    <x v="52"/>
    <n v="39"/>
    <n v="23"/>
    <n v="38336"/>
    <n v="185"/>
    <n v="65133"/>
    <x v="3"/>
    <n v="-4"/>
    <s v="Major"/>
    <x v="40"/>
    <x v="47"/>
    <n v="6"/>
    <x v="46"/>
    <n v="213"/>
    <n v="3.55"/>
    <n v="20"/>
    <n v="11"/>
    <n v="72"/>
  </r>
  <r>
    <s v="Swish Swish"/>
    <x v="39"/>
    <x v="0"/>
    <n v="2017"/>
    <n v="703301727"/>
    <x v="1"/>
    <n v="6080"/>
    <x v="50"/>
    <x v="27"/>
    <n v="17218"/>
    <x v="26"/>
    <n v="33"/>
    <n v="33"/>
    <n v="6506"/>
    <n v="109"/>
    <n v="29837"/>
    <x v="7"/>
    <n v="-5"/>
    <s v="Major"/>
    <x v="0"/>
    <x v="58"/>
    <n v="10"/>
    <x v="55"/>
    <n v="243"/>
    <n v="4.05"/>
    <n v="2"/>
    <n v="4"/>
    <n v="73"/>
  </r>
  <r>
    <s v="Take Back the Night"/>
    <x v="60"/>
    <x v="0"/>
    <n v="2013"/>
    <n v="264717480"/>
    <x v="0"/>
    <n v="1962"/>
    <x v="289"/>
    <x v="87"/>
    <n v="37083"/>
    <x v="77"/>
    <n v="410"/>
    <n v="2"/>
    <n v="17816"/>
    <n v="63"/>
    <n v="57271"/>
    <x v="2"/>
    <n v="-5"/>
    <s v="Minor"/>
    <x v="12"/>
    <x v="18"/>
    <n v="64"/>
    <x v="18"/>
    <n v="353"/>
    <n v="5.8833333333333337"/>
    <n v="4"/>
    <n v="16"/>
    <n v="54"/>
  </r>
  <r>
    <s v="Take It Off"/>
    <x v="40"/>
    <x v="0"/>
    <n v="2010"/>
    <n v="421365166"/>
    <x v="0"/>
    <n v="3297"/>
    <x v="288"/>
    <x v="182"/>
    <n v="7190"/>
    <x v="28"/>
    <n v="8439"/>
    <n v="105"/>
    <n v="36190"/>
    <n v="354"/>
    <n v="55116"/>
    <x v="10"/>
    <n v="-5"/>
    <s v="Major"/>
    <x v="10"/>
    <x v="17"/>
    <n v="9"/>
    <x v="23"/>
    <n v="215"/>
    <n v="3.5833333333333335"/>
    <n v="0"/>
    <n v="3"/>
    <n v="66"/>
  </r>
  <r>
    <s v="Take Me To Church"/>
    <x v="170"/>
    <x v="44"/>
    <n v="2015"/>
    <n v="1647990401"/>
    <x v="3"/>
    <n v="20333"/>
    <x v="274"/>
    <x v="11"/>
    <n v="22808"/>
    <x v="11"/>
    <n v="80"/>
    <n v="12"/>
    <n v="29903"/>
    <n v="6"/>
    <n v="73124"/>
    <x v="43"/>
    <n v="-5"/>
    <s v="Minor"/>
    <x v="12"/>
    <x v="47"/>
    <n v="12"/>
    <x v="16"/>
    <n v="242"/>
    <n v="4.0333333333333332"/>
    <n v="63"/>
    <n v="5"/>
    <n v="81"/>
  </r>
  <r>
    <s v="Takeaway"/>
    <x v="3"/>
    <x v="1"/>
    <n v="2019"/>
    <n v="1788326445"/>
    <x v="3"/>
    <n v="22543"/>
    <x v="122"/>
    <x v="32"/>
    <n v="1802"/>
    <x v="30"/>
    <n v="1959"/>
    <n v="33"/>
    <n v="37613"/>
    <n v="188"/>
    <n v="63917"/>
    <x v="13"/>
    <n v="-8"/>
    <s v="Major"/>
    <x v="73"/>
    <x v="8"/>
    <n v="10"/>
    <x v="41"/>
    <n v="210"/>
    <n v="3.5"/>
    <n v="13"/>
    <n v="3"/>
    <n v="83"/>
  </r>
  <r>
    <s v="Taki Taki (feat. Selena Gomez, Ozuna &amp; Cardi B)"/>
    <x v="125"/>
    <x v="35"/>
    <n v="2019"/>
    <n v="1047101291"/>
    <x v="3"/>
    <n v="9161"/>
    <x v="68"/>
    <x v="111"/>
    <n v="21578"/>
    <x v="123"/>
    <n v="582"/>
    <n v="38"/>
    <n v="32352"/>
    <n v="80"/>
    <n v="63673"/>
    <x v="73"/>
    <n v="-4"/>
    <s v="Minor"/>
    <x v="6"/>
    <x v="58"/>
    <n v="6"/>
    <x v="60"/>
    <n v="213"/>
    <n v="3.55"/>
    <n v="16"/>
    <n v="23"/>
    <n v="77"/>
  </r>
  <r>
    <s v="Talk (feat. Disclosure)"/>
    <x v="171"/>
    <x v="45"/>
    <n v="2019"/>
    <n v="1897517891"/>
    <x v="3"/>
    <n v="25653"/>
    <x v="290"/>
    <x v="183"/>
    <n v="11399"/>
    <x v="131"/>
    <n v="78"/>
    <n v="47"/>
    <n v="12337"/>
    <n v="267"/>
    <n v="49467"/>
    <x v="1"/>
    <n v="-9"/>
    <s v="Major"/>
    <x v="74"/>
    <x v="44"/>
    <n v="6"/>
    <x v="41"/>
    <n v="198"/>
    <n v="3.3"/>
    <n v="5"/>
    <n v="13"/>
    <n v="84"/>
  </r>
  <r>
    <s v="Talk Dirty (feat. 2 Chainz)"/>
    <x v="172"/>
    <x v="0"/>
    <n v="2014"/>
    <n v="471819764"/>
    <x v="0"/>
    <n v="3711"/>
    <x v="96"/>
    <x v="16"/>
    <n v="154"/>
    <x v="15"/>
    <n v="33"/>
    <n v="42"/>
    <n v="34112"/>
    <n v="99"/>
    <n v="38010"/>
    <x v="13"/>
    <n v="-7"/>
    <s v="Major"/>
    <x v="29"/>
    <x v="11"/>
    <n v="31"/>
    <x v="49"/>
    <n v="178"/>
    <n v="2.9666666666666668"/>
    <n v="3"/>
    <n v="23"/>
    <n v="68"/>
  </r>
  <r>
    <s v="Team"/>
    <x v="173"/>
    <x v="25"/>
    <n v="2014"/>
    <n v="723043854"/>
    <x v="1"/>
    <n v="6330"/>
    <x v="149"/>
    <x v="39"/>
    <n v="27755"/>
    <x v="36"/>
    <n v="5"/>
    <n v="37"/>
    <n v="33669"/>
    <n v="37"/>
    <n v="67759"/>
    <x v="13"/>
    <n v="-7"/>
    <s v="Minor"/>
    <x v="39"/>
    <x v="28"/>
    <n v="31"/>
    <x v="69"/>
    <n v="193"/>
    <n v="3.2166666666666668"/>
    <n v="17"/>
    <n v="9"/>
    <n v="73"/>
  </r>
  <r>
    <s v="Tee Shirt - Soundtrack Version"/>
    <x v="121"/>
    <x v="8"/>
    <n v="2014"/>
    <n v="240580042"/>
    <x v="2"/>
    <n v="1685"/>
    <x v="16"/>
    <x v="13"/>
    <n v="21903"/>
    <x v="41"/>
    <n v="14"/>
    <n v="6"/>
    <n v="5998"/>
    <n v="262"/>
    <n v="29600"/>
    <x v="100"/>
    <n v="-9"/>
    <s v="Major"/>
    <x v="45"/>
    <x v="2"/>
    <n v="9"/>
    <x v="1"/>
    <n v="160"/>
    <n v="2.6666666666666665"/>
    <n v="84"/>
    <n v="3"/>
    <n v="49"/>
  </r>
  <r>
    <s v="Teenage Dream"/>
    <x v="39"/>
    <x v="0"/>
    <n v="2010"/>
    <n v="349746291"/>
    <x v="0"/>
    <n v="2711"/>
    <x v="156"/>
    <x v="184"/>
    <n v="25124"/>
    <x v="25"/>
    <n v="9716"/>
    <n v="88"/>
    <n v="26814"/>
    <n v="124"/>
    <n v="64365"/>
    <x v="7"/>
    <n v="-5"/>
    <s v="Major"/>
    <x v="6"/>
    <x v="25"/>
    <n v="13"/>
    <x v="33"/>
    <n v="228"/>
    <n v="3.8"/>
    <n v="2"/>
    <n v="4"/>
    <n v="63"/>
  </r>
  <r>
    <s v="Telephone"/>
    <x v="14"/>
    <x v="0"/>
    <n v="2010"/>
    <n v="769213520"/>
    <x v="1"/>
    <n v="6646"/>
    <x v="207"/>
    <x v="185"/>
    <n v="18271"/>
    <x v="16"/>
    <n v="8264"/>
    <n v="189"/>
    <n v="9250"/>
    <n v="147"/>
    <n v="42431"/>
    <x v="47"/>
    <n v="-6"/>
    <s v="Minor"/>
    <x v="21"/>
    <x v="39"/>
    <n v="11"/>
    <x v="32"/>
    <n v="221"/>
    <n v="3.6833333333333331"/>
    <n v="1"/>
    <n v="4"/>
    <n v="73"/>
  </r>
  <r>
    <s v="Tell Me You Love Me - NOTD Remix"/>
    <x v="46"/>
    <x v="0"/>
    <n v="2018"/>
    <n v="225259194"/>
    <x v="2"/>
    <n v="1585"/>
    <x v="291"/>
    <x v="47"/>
    <n v="33952"/>
    <x v="44"/>
    <n v="67"/>
    <n v="1"/>
    <n v="18695"/>
    <n v="199"/>
    <n v="54299"/>
    <x v="38"/>
    <n v="-5"/>
    <s v="Minor"/>
    <x v="58"/>
    <x v="5"/>
    <n v="9"/>
    <x v="49"/>
    <n v="182"/>
    <n v="3.0333333333333332"/>
    <n v="5"/>
    <n v="8"/>
    <n v="44"/>
  </r>
  <r>
    <s v="Tequila"/>
    <x v="174"/>
    <x v="46"/>
    <n v="2018"/>
    <n v="899183384"/>
    <x v="1"/>
    <n v="8087"/>
    <x v="226"/>
    <x v="161"/>
    <n v="33777"/>
    <x v="132"/>
    <n v="1219"/>
    <n v="38"/>
    <n v="24024"/>
    <n v="238"/>
    <n v="67107"/>
    <x v="30"/>
    <n v="-6"/>
    <s v="Major"/>
    <x v="17"/>
    <x v="46"/>
    <n v="13"/>
    <x v="5"/>
    <n v="196"/>
    <n v="3.2666666666666666"/>
    <n v="3"/>
    <n v="3"/>
    <n v="76"/>
  </r>
  <r>
    <s v="That's What I Like"/>
    <x v="6"/>
    <x v="2"/>
    <n v="2017"/>
    <n v="1814349763"/>
    <x v="3"/>
    <n v="23575"/>
    <x v="292"/>
    <x v="65"/>
    <n v="25886"/>
    <x v="57"/>
    <n v="102"/>
    <n v="17"/>
    <n v="27733"/>
    <n v="259"/>
    <n v="77296"/>
    <x v="14"/>
    <n v="-5"/>
    <s v="Major"/>
    <x v="54"/>
    <x v="36"/>
    <n v="9"/>
    <x v="36"/>
    <n v="207"/>
    <n v="3.45"/>
    <n v="1"/>
    <n v="4"/>
    <n v="83"/>
  </r>
  <r>
    <s v="The Cure"/>
    <x v="14"/>
    <x v="0"/>
    <n v="2017"/>
    <n v="582981380"/>
    <x v="1"/>
    <n v="4673"/>
    <x v="293"/>
    <x v="80"/>
    <n v="25596"/>
    <x v="69"/>
    <n v="22"/>
    <n v="2"/>
    <n v="36322"/>
    <n v="157"/>
    <n v="66613"/>
    <x v="13"/>
    <n v="-5"/>
    <s v="Minor"/>
    <x v="73"/>
    <x v="0"/>
    <n v="9"/>
    <x v="11"/>
    <n v="211"/>
    <n v="3.5166666666666666"/>
    <n v="8"/>
    <n v="3"/>
    <n v="71"/>
  </r>
  <r>
    <s v="The Edge Of Glory"/>
    <x v="14"/>
    <x v="0"/>
    <n v="2011"/>
    <n v="449701773"/>
    <x v="0"/>
    <n v="3517"/>
    <x v="294"/>
    <x v="186"/>
    <n v="12825"/>
    <x v="57"/>
    <n v="6258"/>
    <n v="54"/>
    <n v="4235"/>
    <n v="161"/>
    <n v="26835"/>
    <x v="3"/>
    <n v="-6"/>
    <s v="Major"/>
    <x v="58"/>
    <x v="5"/>
    <n v="11"/>
    <x v="84"/>
    <n v="321"/>
    <n v="5.35"/>
    <n v="0"/>
    <n v="4"/>
    <n v="67"/>
  </r>
  <r>
    <s v="The Feeling"/>
    <x v="30"/>
    <x v="11"/>
    <n v="2015"/>
    <n v="432719968"/>
    <x v="0"/>
    <n v="3423"/>
    <x v="92"/>
    <x v="23"/>
    <n v="16818"/>
    <x v="22"/>
    <n v="11"/>
    <n v="31"/>
    <n v="5113"/>
    <n v="62"/>
    <n v="25365"/>
    <x v="53"/>
    <n v="-6"/>
    <s v="Minor"/>
    <x v="36"/>
    <x v="8"/>
    <n v="10"/>
    <x v="75"/>
    <n v="245"/>
    <n v="4.083333333333333"/>
    <n v="8"/>
    <n v="6"/>
    <n v="67"/>
  </r>
  <r>
    <s v="The Greatest"/>
    <x v="15"/>
    <x v="5"/>
    <n v="2017"/>
    <n v="933815613"/>
    <x v="1"/>
    <n v="8448"/>
    <x v="68"/>
    <x v="27"/>
    <n v="9724"/>
    <x v="26"/>
    <n v="267"/>
    <n v="12"/>
    <n v="27309"/>
    <n v="44"/>
    <n v="45748"/>
    <x v="84"/>
    <n v="-6"/>
    <s v="Minor"/>
    <x v="32"/>
    <x v="26"/>
    <n v="6"/>
    <x v="27"/>
    <n v="210"/>
    <n v="3.5"/>
    <n v="1"/>
    <n v="27"/>
    <n v="76"/>
  </r>
  <r>
    <s v="The Heart Wants What It Wants"/>
    <x v="33"/>
    <x v="0"/>
    <n v="2015"/>
    <n v="663832097"/>
    <x v="1"/>
    <n v="5403"/>
    <x v="86"/>
    <x v="13"/>
    <n v="34342"/>
    <x v="13"/>
    <n v="18"/>
    <n v="31"/>
    <n v="15725"/>
    <n v="139"/>
    <n v="55488"/>
    <x v="101"/>
    <n v="-5"/>
    <s v="Minor"/>
    <x v="35"/>
    <x v="41"/>
    <n v="14"/>
    <x v="60"/>
    <n v="227"/>
    <n v="3.7833333333333332"/>
    <n v="5"/>
    <n v="4"/>
    <n v="72"/>
  </r>
  <r>
    <s v="The Hills"/>
    <x v="86"/>
    <x v="26"/>
    <n v="2016"/>
    <n v="2011464183"/>
    <x v="3"/>
    <n v="27705"/>
    <x v="295"/>
    <x v="70"/>
    <n v="33174"/>
    <x v="62"/>
    <n v="1378"/>
    <n v="9"/>
    <n v="20104"/>
    <n v="126"/>
    <n v="82361"/>
    <x v="32"/>
    <n v="-7"/>
    <s v="Major"/>
    <x v="54"/>
    <x v="5"/>
    <n v="14"/>
    <x v="34"/>
    <n v="242"/>
    <n v="4.0333333333333332"/>
    <n v="7"/>
    <n v="5"/>
    <n v="84"/>
  </r>
  <r>
    <s v="The One That Got Away"/>
    <x v="39"/>
    <x v="0"/>
    <n v="2012"/>
    <n v="448843705"/>
    <x v="0"/>
    <n v="3506"/>
    <x v="246"/>
    <x v="74"/>
    <n v="33855"/>
    <x v="43"/>
    <n v="185"/>
    <n v="163"/>
    <n v="23712"/>
    <n v="81"/>
    <n v="61258"/>
    <x v="14"/>
    <n v="-4"/>
    <s v="Minor"/>
    <x v="6"/>
    <x v="28"/>
    <n v="16"/>
    <x v="56"/>
    <n v="227"/>
    <n v="3.7833333333333332"/>
    <n v="0"/>
    <n v="4"/>
    <n v="67"/>
  </r>
  <r>
    <s v="The Time (Dirty Bit)"/>
    <x v="118"/>
    <x v="0"/>
    <n v="2010"/>
    <n v="573633020"/>
    <x v="1"/>
    <n v="4637"/>
    <x v="89"/>
    <x v="187"/>
    <n v="8926"/>
    <x v="23"/>
    <n v="275"/>
    <n v="145"/>
    <n v="3314"/>
    <n v="191"/>
    <n v="17152"/>
    <x v="3"/>
    <n v="-8"/>
    <s v="Minor"/>
    <x v="36"/>
    <x v="7"/>
    <n v="60"/>
    <x v="16"/>
    <n v="308"/>
    <n v="5.1333333333333337"/>
    <n v="7"/>
    <n v="7"/>
    <n v="70"/>
  </r>
  <r>
    <s v="The Way"/>
    <x v="51"/>
    <x v="0"/>
    <n v="2013"/>
    <n v="477033549"/>
    <x v="0"/>
    <n v="3766"/>
    <x v="126"/>
    <x v="151"/>
    <n v="19974"/>
    <x v="114"/>
    <n v="1"/>
    <n v="42"/>
    <n v="3558"/>
    <n v="180"/>
    <n v="27299"/>
    <x v="55"/>
    <n v="-3"/>
    <s v="Minor"/>
    <x v="8"/>
    <x v="34"/>
    <n v="8"/>
    <x v="36"/>
    <n v="227"/>
    <n v="3.7833333333333332"/>
    <n v="29"/>
    <n v="11"/>
    <n v="68"/>
  </r>
  <r>
    <s v="There for You"/>
    <x v="120"/>
    <x v="6"/>
    <n v="2017"/>
    <n v="929964809"/>
    <x v="1"/>
    <n v="8431"/>
    <x v="104"/>
    <x v="188"/>
    <n v="1585"/>
    <x v="70"/>
    <n v="62"/>
    <n v="12"/>
    <n v="39091"/>
    <n v="339"/>
    <n v="49169"/>
    <x v="40"/>
    <n v="-8"/>
    <s v="Major"/>
    <x v="57"/>
    <x v="42"/>
    <n v="12"/>
    <x v="22"/>
    <n v="222"/>
    <n v="3.7"/>
    <n v="12"/>
    <n v="6"/>
    <n v="76"/>
  </r>
  <r>
    <s v="There's Nothing Holdin' Me Back"/>
    <x v="81"/>
    <x v="11"/>
    <n v="2018"/>
    <n v="1953533826"/>
    <x v="3"/>
    <n v="26792"/>
    <x v="296"/>
    <x v="91"/>
    <n v="24163"/>
    <x v="67"/>
    <n v="710"/>
    <n v="14"/>
    <n v="26063"/>
    <n v="4"/>
    <n v="77728"/>
    <x v="47"/>
    <n v="-4"/>
    <s v="Minor"/>
    <x v="36"/>
    <x v="68"/>
    <n v="8"/>
    <x v="90"/>
    <n v="199"/>
    <n v="3.3166666666666669"/>
    <n v="38"/>
    <n v="6"/>
    <n v="84"/>
  </r>
  <r>
    <s v="These Days"/>
    <x v="123"/>
    <x v="0"/>
    <n v="2018"/>
    <n v="1410088830"/>
    <x v="3"/>
    <n v="15563"/>
    <x v="67"/>
    <x v="189"/>
    <n v="18663"/>
    <x v="59"/>
    <n v="964"/>
    <n v="9"/>
    <n v="14383"/>
    <n v="372"/>
    <n v="49573"/>
    <x v="42"/>
    <n v="-4"/>
    <s v="Minor"/>
    <x v="36"/>
    <x v="34"/>
    <n v="17"/>
    <x v="35"/>
    <n v="211"/>
    <n v="3.5166666666666666"/>
    <n v="19"/>
    <n v="5"/>
    <n v="80"/>
  </r>
  <r>
    <s v="Thinking out Loud"/>
    <x v="26"/>
    <x v="2"/>
    <n v="2015"/>
    <n v="2132335812"/>
    <x v="3"/>
    <n v="29499"/>
    <x v="157"/>
    <x v="47"/>
    <n v="18079"/>
    <x v="44"/>
    <n v="8"/>
    <n v="12"/>
    <n v="11401"/>
    <n v="283"/>
    <n v="58987"/>
    <x v="62"/>
    <n v="-6"/>
    <s v="Major"/>
    <x v="25"/>
    <x v="27"/>
    <n v="18"/>
    <x v="33"/>
    <n v="282"/>
    <n v="4.7"/>
    <n v="47"/>
    <n v="3"/>
    <n v="84"/>
  </r>
  <r>
    <s v="This Is How We Do"/>
    <x v="39"/>
    <x v="0"/>
    <n v="2014"/>
    <n v="412795151"/>
    <x v="0"/>
    <n v="3257"/>
    <x v="53"/>
    <x v="31"/>
    <n v="30735"/>
    <x v="29"/>
    <n v="11"/>
    <n v="34"/>
    <n v="12654"/>
    <n v="90"/>
    <n v="46657"/>
    <x v="73"/>
    <n v="-6"/>
    <s v="Minor"/>
    <x v="57"/>
    <x v="28"/>
    <n v="15"/>
    <x v="29"/>
    <n v="204"/>
    <n v="3.4"/>
    <n v="2"/>
    <n v="5"/>
    <n v="66"/>
  </r>
  <r>
    <s v="This Is What You Came For"/>
    <x v="41"/>
    <x v="0"/>
    <n v="2016"/>
    <n v="1449799467"/>
    <x v="3"/>
    <n v="16636"/>
    <x v="297"/>
    <x v="52"/>
    <n v="11794"/>
    <x v="49"/>
    <n v="36"/>
    <n v="1"/>
    <n v="3379"/>
    <n v="251"/>
    <n v="31845"/>
    <x v="19"/>
    <n v="-3"/>
    <s v="Major"/>
    <x v="40"/>
    <x v="14"/>
    <n v="15"/>
    <x v="59"/>
    <n v="222"/>
    <n v="3.7"/>
    <n v="20"/>
    <n v="3"/>
    <n v="80"/>
  </r>
  <r>
    <s v="This Town"/>
    <x v="165"/>
    <x v="0"/>
    <n v="2018"/>
    <n v="354614964"/>
    <x v="0"/>
    <n v="2780"/>
    <x v="7"/>
    <x v="2"/>
    <n v="884"/>
    <x v="2"/>
    <n v="78"/>
    <n v="12"/>
    <n v="20883"/>
    <n v="366"/>
    <n v="24625"/>
    <x v="87"/>
    <n v="-8"/>
    <s v="Major"/>
    <x v="11"/>
    <x v="2"/>
    <n v="12"/>
    <x v="13"/>
    <n v="233"/>
    <n v="3.8833333333333333"/>
    <n v="70"/>
    <n v="3"/>
    <n v="64"/>
  </r>
  <r>
    <s v="Thrift Shop (feat. Wanz)"/>
    <x v="58"/>
    <x v="0"/>
    <n v="2013"/>
    <n v="510876816"/>
    <x v="1"/>
    <n v="4169"/>
    <x v="121"/>
    <x v="17"/>
    <n v="27649"/>
    <x v="45"/>
    <n v="7"/>
    <n v="28"/>
    <n v="31354"/>
    <n v="374"/>
    <n v="63179"/>
    <x v="56"/>
    <n v="-7"/>
    <s v="Major"/>
    <x v="20"/>
    <x v="27"/>
    <n v="5"/>
    <x v="3"/>
    <n v="236"/>
    <n v="3.9333333333333331"/>
    <n v="6"/>
    <n v="29"/>
    <n v="69"/>
  </r>
  <r>
    <s v="TiK ToK"/>
    <x v="40"/>
    <x v="0"/>
    <n v="2010"/>
    <n v="1553497987"/>
    <x v="3"/>
    <n v="17836"/>
    <x v="155"/>
    <x v="190"/>
    <n v="15501"/>
    <x v="83"/>
    <n v="4085"/>
    <n v="68"/>
    <n v="28242"/>
    <n v="122"/>
    <n v="65664"/>
    <x v="7"/>
    <n v="-3"/>
    <s v="Minor"/>
    <x v="4"/>
    <x v="11"/>
    <n v="29"/>
    <x v="32"/>
    <n v="200"/>
    <n v="3.3333333333333335"/>
    <n v="10"/>
    <n v="14"/>
    <n v="80"/>
  </r>
  <r>
    <s v="Till the World Ends"/>
    <x v="0"/>
    <x v="0"/>
    <n v="2011"/>
    <n v="393230256"/>
    <x v="0"/>
    <n v="3028"/>
    <x v="298"/>
    <x v="191"/>
    <n v="30438"/>
    <x v="43"/>
    <n v="2254"/>
    <n v="64"/>
    <n v="7970"/>
    <n v="360"/>
    <n v="43690"/>
    <x v="61"/>
    <n v="-6"/>
    <s v="Minor"/>
    <x v="0"/>
    <x v="28"/>
    <n v="20"/>
    <x v="2"/>
    <n v="238"/>
    <n v="3.9666666666666668"/>
    <n v="2"/>
    <n v="7"/>
    <n v="65"/>
  </r>
  <r>
    <s v="Time of Our Lives"/>
    <x v="63"/>
    <x v="0"/>
    <n v="2015"/>
    <n v="231657891"/>
    <x v="2"/>
    <n v="1613"/>
    <x v="216"/>
    <x v="192"/>
    <n v="1214"/>
    <x v="13"/>
    <n v="28"/>
    <n v="13"/>
    <n v="35960"/>
    <n v="176"/>
    <n v="38815"/>
    <x v="19"/>
    <n v="-6"/>
    <s v="Minor"/>
    <x v="6"/>
    <x v="25"/>
    <n v="69"/>
    <x v="54"/>
    <n v="229"/>
    <n v="3.8166666666666669"/>
    <n v="9"/>
    <n v="6"/>
    <n v="45"/>
  </r>
  <r>
    <s v="Tired"/>
    <x v="175"/>
    <x v="47"/>
    <n v="2017"/>
    <n v="539595276"/>
    <x v="1"/>
    <n v="4375"/>
    <x v="215"/>
    <x v="112"/>
    <n v="8170"/>
    <x v="130"/>
    <n v="43"/>
    <n v="4"/>
    <n v="21415"/>
    <n v="26"/>
    <n v="34003"/>
    <x v="19"/>
    <n v="-4"/>
    <s v="Major"/>
    <x v="8"/>
    <x v="28"/>
    <n v="15"/>
    <x v="39"/>
    <n v="192"/>
    <n v="3.2"/>
    <n v="4"/>
    <n v="6"/>
    <n v="70"/>
  </r>
  <r>
    <s v="Titanium (feat. Sia)"/>
    <x v="7"/>
    <x v="0"/>
    <n v="2012"/>
    <n v="1479264469"/>
    <x v="3"/>
    <n v="17492"/>
    <x v="270"/>
    <x v="85"/>
    <n v="36965"/>
    <x v="67"/>
    <n v="4476"/>
    <n v="194"/>
    <n v="38749"/>
    <n v="319"/>
    <n v="97682"/>
    <x v="35"/>
    <n v="-4"/>
    <s v="Minor"/>
    <x v="35"/>
    <x v="31"/>
    <n v="13"/>
    <x v="20"/>
    <n v="245"/>
    <n v="4.083333333333333"/>
    <n v="7"/>
    <n v="10"/>
    <n v="80"/>
  </r>
  <r>
    <s v="TKO"/>
    <x v="60"/>
    <x v="0"/>
    <n v="2013"/>
    <n v="294352144"/>
    <x v="0"/>
    <n v="2229"/>
    <x v="199"/>
    <x v="51"/>
    <n v="3853"/>
    <x v="48"/>
    <n v="1800"/>
    <n v="16"/>
    <n v="38909"/>
    <n v="347"/>
    <n v="46791"/>
    <x v="51"/>
    <n v="-7"/>
    <s v="Minor"/>
    <x v="10"/>
    <x v="42"/>
    <n v="43"/>
    <x v="39"/>
    <n v="424"/>
    <n v="7.0666666666666664"/>
    <n v="1"/>
    <n v="24"/>
    <n v="58"/>
  </r>
  <r>
    <s v="Tonight (I'm Fuckin' You)"/>
    <x v="94"/>
    <x v="0"/>
    <n v="2011"/>
    <n v="348647203"/>
    <x v="0"/>
    <n v="2697"/>
    <x v="73"/>
    <x v="131"/>
    <n v="11284"/>
    <x v="0"/>
    <n v="2262"/>
    <n v="81"/>
    <n v="32865"/>
    <n v="113"/>
    <n v="49108"/>
    <x v="35"/>
    <n v="-4"/>
    <s v="Major"/>
    <x v="53"/>
    <x v="34"/>
    <n v="12"/>
    <x v="26"/>
    <n v="232"/>
    <n v="3.8666666666666667"/>
    <n v="3"/>
    <n v="5"/>
    <n v="63"/>
  </r>
  <r>
    <s v="Tonight Tonight"/>
    <x v="176"/>
    <x v="0"/>
    <n v="2011"/>
    <n v="885093467"/>
    <x v="1"/>
    <n v="7930"/>
    <x v="102"/>
    <x v="193"/>
    <n v="29783"/>
    <x v="98"/>
    <n v="1499"/>
    <n v="131"/>
    <n v="10564"/>
    <n v="138"/>
    <n v="49776"/>
    <x v="13"/>
    <n v="-5"/>
    <s v="Minor"/>
    <x v="24"/>
    <x v="28"/>
    <n v="16"/>
    <x v="43"/>
    <n v="200"/>
    <n v="3.3333333333333335"/>
    <n v="8"/>
    <n v="12"/>
    <n v="75"/>
  </r>
  <r>
    <s v="Too Good"/>
    <x v="111"/>
    <x v="33"/>
    <n v="2016"/>
    <n v="797402345"/>
    <x v="1"/>
    <n v="6952"/>
    <x v="299"/>
    <x v="194"/>
    <n v="25679"/>
    <x v="49"/>
    <n v="29"/>
    <n v="50"/>
    <n v="36571"/>
    <n v="194"/>
    <n v="69231"/>
    <x v="25"/>
    <n v="-8"/>
    <s v="Major"/>
    <x v="29"/>
    <x v="3"/>
    <n v="10"/>
    <x v="65"/>
    <n v="263"/>
    <n v="4.3833333333333337"/>
    <n v="5"/>
    <n v="10"/>
    <n v="74"/>
  </r>
  <r>
    <s v="Toothbrush"/>
    <x v="43"/>
    <x v="0"/>
    <n v="2016"/>
    <n v="646886885"/>
    <x v="1"/>
    <n v="5281"/>
    <x v="300"/>
    <x v="52"/>
    <n v="38178"/>
    <x v="49"/>
    <n v="58"/>
    <n v="15"/>
    <n v="7085"/>
    <n v="228"/>
    <n v="50602"/>
    <x v="70"/>
    <n v="-6"/>
    <s v="Minor"/>
    <x v="35"/>
    <x v="12"/>
    <n v="47"/>
    <x v="14"/>
    <n v="232"/>
    <n v="3.8666666666666667"/>
    <n v="12"/>
    <n v="13"/>
    <n v="72"/>
  </r>
  <r>
    <s v="Touch (feat. Kid Ink)"/>
    <x v="113"/>
    <x v="0"/>
    <n v="2017"/>
    <n v="299648208"/>
    <x v="0"/>
    <n v="2301"/>
    <x v="25"/>
    <x v="23"/>
    <n v="29036"/>
    <x v="22"/>
    <n v="154"/>
    <n v="37"/>
    <n v="18799"/>
    <n v="3"/>
    <n v="50290"/>
    <x v="38"/>
    <n v="-4"/>
    <s v="Minor"/>
    <x v="18"/>
    <x v="32"/>
    <n v="49"/>
    <x v="8"/>
    <n v="203"/>
    <n v="3.3833333333333333"/>
    <n v="4"/>
    <n v="11"/>
    <n v="59"/>
  </r>
  <r>
    <s v="Trampoline (with ZAYN)"/>
    <x v="177"/>
    <x v="1"/>
    <n v="2019"/>
    <n v="2665343922"/>
    <x v="3"/>
    <n v="43257"/>
    <x v="20"/>
    <x v="195"/>
    <n v="22355"/>
    <x v="133"/>
    <n v="3895"/>
    <n v="6"/>
    <n v="36128"/>
    <n v="349"/>
    <n v="105635"/>
    <x v="53"/>
    <n v="-6"/>
    <s v="Minor"/>
    <x v="52"/>
    <x v="41"/>
    <n v="14"/>
    <x v="5"/>
    <n v="184"/>
    <n v="3.0666666666666669"/>
    <n v="56"/>
    <n v="3"/>
    <n v="92"/>
  </r>
  <r>
    <s v="Treasure"/>
    <x v="6"/>
    <x v="2"/>
    <n v="2014"/>
    <n v="1115880852"/>
    <x v="3"/>
    <n v="9974"/>
    <x v="68"/>
    <x v="11"/>
    <n v="26533"/>
    <x v="11"/>
    <n v="2"/>
    <n v="30"/>
    <n v="28656"/>
    <n v="53"/>
    <n v="65165"/>
    <x v="48"/>
    <n v="-5"/>
    <s v="Major"/>
    <x v="34"/>
    <x v="68"/>
    <n v="32"/>
    <x v="89"/>
    <n v="179"/>
    <n v="2.9833333333333334"/>
    <n v="4"/>
    <n v="4"/>
    <n v="77"/>
  </r>
  <r>
    <s v="Treat You Better"/>
    <x v="81"/>
    <x v="11"/>
    <n v="2017"/>
    <n v="2009094673"/>
    <x v="3"/>
    <n v="27221"/>
    <x v="301"/>
    <x v="110"/>
    <n v="25937"/>
    <x v="92"/>
    <n v="93"/>
    <n v="16"/>
    <n v="39054"/>
    <n v="125"/>
    <n v="92305"/>
    <x v="101"/>
    <n v="-4"/>
    <s v="Minor"/>
    <x v="23"/>
    <x v="57"/>
    <n v="11"/>
    <x v="44"/>
    <n v="188"/>
    <n v="3.1333333333333333"/>
    <n v="11"/>
    <n v="34"/>
    <n v="84"/>
  </r>
  <r>
    <s v="True Colors"/>
    <x v="65"/>
    <x v="22"/>
    <n v="2016"/>
    <n v="245095641"/>
    <x v="2"/>
    <n v="1794"/>
    <x v="247"/>
    <x v="94"/>
    <n v="4730"/>
    <x v="85"/>
    <n v="8"/>
    <n v="4"/>
    <n v="17933"/>
    <n v="48"/>
    <n v="24465"/>
    <x v="35"/>
    <n v="-3"/>
    <s v="Major"/>
    <x v="35"/>
    <x v="47"/>
    <n v="10"/>
    <x v="39"/>
    <n v="225"/>
    <n v="3.75"/>
    <n v="40"/>
    <n v="4"/>
    <n v="51"/>
  </r>
  <r>
    <s v="Trumpets"/>
    <x v="172"/>
    <x v="0"/>
    <n v="2015"/>
    <n v="500340342"/>
    <x v="1"/>
    <n v="4053"/>
    <x v="302"/>
    <x v="47"/>
    <n v="16606"/>
    <x v="44"/>
    <n v="6"/>
    <n v="34"/>
    <n v="4014"/>
    <n v="188"/>
    <n v="24679"/>
    <x v="55"/>
    <n v="-5"/>
    <s v="Minor"/>
    <x v="37"/>
    <x v="14"/>
    <n v="10"/>
    <x v="47"/>
    <n v="217"/>
    <n v="3.6166666666666667"/>
    <n v="56"/>
    <n v="24"/>
    <n v="69"/>
  </r>
  <r>
    <s v="Truth Hurts"/>
    <x v="102"/>
    <x v="2"/>
    <n v="2019"/>
    <n v="2591224264"/>
    <x v="3"/>
    <n v="41751"/>
    <x v="20"/>
    <x v="101"/>
    <n v="37965"/>
    <x v="73"/>
    <n v="1066"/>
    <n v="1"/>
    <n v="37729"/>
    <n v="384"/>
    <n v="118511"/>
    <x v="77"/>
    <n v="-3"/>
    <s v="Major"/>
    <x v="9"/>
    <x v="25"/>
    <n v="12"/>
    <x v="62"/>
    <n v="173"/>
    <n v="2.8833333333333333"/>
    <n v="11"/>
    <n v="11"/>
    <n v="90"/>
  </r>
  <r>
    <s v="Try"/>
    <x v="42"/>
    <x v="0"/>
    <n v="2012"/>
    <n v="809306935"/>
    <x v="1"/>
    <n v="7191"/>
    <x v="72"/>
    <x v="196"/>
    <n v="32739"/>
    <x v="50"/>
    <n v="7241"/>
    <n v="58"/>
    <n v="18500"/>
    <n v="28"/>
    <n v="65671"/>
    <x v="50"/>
    <n v="-7"/>
    <s v="Minor"/>
    <x v="60"/>
    <x v="26"/>
    <n v="9"/>
    <x v="35"/>
    <n v="248"/>
    <n v="4.1333333333333337"/>
    <n v="0"/>
    <n v="3"/>
    <n v="74"/>
  </r>
  <r>
    <s v="Try Sleeping with a Broken Heart"/>
    <x v="79"/>
    <x v="24"/>
    <n v="2010"/>
    <n v="335074782"/>
    <x v="0"/>
    <n v="2597"/>
    <x v="81"/>
    <x v="197"/>
    <n v="2315"/>
    <x v="93"/>
    <n v="5651"/>
    <n v="103"/>
    <n v="22110"/>
    <n v="180"/>
    <n v="32673"/>
    <x v="74"/>
    <n v="-5"/>
    <s v="Major"/>
    <x v="23"/>
    <x v="45"/>
    <n v="13"/>
    <x v="35"/>
    <n v="249"/>
    <n v="4.1500000000000004"/>
    <n v="16"/>
    <n v="11"/>
    <n v="62"/>
  </r>
  <r>
    <s v="Turn Up the Music"/>
    <x v="143"/>
    <x v="0"/>
    <n v="2012"/>
    <n v="391251368"/>
    <x v="0"/>
    <n v="3009"/>
    <x v="182"/>
    <x v="198"/>
    <n v="8911"/>
    <x v="38"/>
    <n v="786"/>
    <n v="132"/>
    <n v="25047"/>
    <n v="162"/>
    <n v="37753"/>
    <x v="9"/>
    <n v="-6"/>
    <s v="Major"/>
    <x v="4"/>
    <x v="18"/>
    <n v="16"/>
    <x v="47"/>
    <n v="228"/>
    <n v="3.8"/>
    <n v="0"/>
    <n v="10"/>
    <n v="65"/>
  </r>
  <r>
    <s v="Turning Page"/>
    <x v="178"/>
    <x v="18"/>
    <n v="2011"/>
    <n v="236060709"/>
    <x v="2"/>
    <n v="1640"/>
    <x v="199"/>
    <x v="199"/>
    <n v="22970"/>
    <x v="25"/>
    <n v="185"/>
    <n v="89"/>
    <n v="14984"/>
    <n v="79"/>
    <n v="39779"/>
    <x v="10"/>
    <n v="-8"/>
    <s v="Major"/>
    <x v="5"/>
    <x v="6"/>
    <n v="11"/>
    <x v="78"/>
    <n v="255"/>
    <n v="4.25"/>
    <n v="91"/>
    <n v="3"/>
    <n v="46"/>
  </r>
  <r>
    <s v="Under Control"/>
    <x v="41"/>
    <x v="0"/>
    <n v="2013"/>
    <n v="807015863"/>
    <x v="1"/>
    <n v="7112"/>
    <x v="303"/>
    <x v="22"/>
    <n v="19546"/>
    <x v="21"/>
    <n v="5"/>
    <n v="34"/>
    <n v="17300"/>
    <n v="323"/>
    <n v="43963"/>
    <x v="35"/>
    <n v="-3"/>
    <s v="Minor"/>
    <x v="2"/>
    <x v="50"/>
    <n v="12"/>
    <x v="71"/>
    <n v="184"/>
    <n v="3.0666666666666669"/>
    <n v="13"/>
    <n v="8"/>
    <n v="74"/>
  </r>
  <r>
    <s v="Underneath the Tree"/>
    <x v="106"/>
    <x v="0"/>
    <n v="2013"/>
    <n v="2559529074"/>
    <x v="3"/>
    <n v="40112"/>
    <x v="20"/>
    <x v="16"/>
    <n v="31086"/>
    <x v="15"/>
    <n v="13"/>
    <n v="42"/>
    <n v="24645"/>
    <n v="166"/>
    <n v="95856"/>
    <x v="4"/>
    <n v="-5"/>
    <s v="Minor"/>
    <x v="36"/>
    <x v="15"/>
    <n v="21"/>
    <x v="37"/>
    <n v="230"/>
    <n v="3.8333333333333335"/>
    <n v="0"/>
    <n v="5"/>
    <n v="88"/>
  </r>
  <r>
    <s v="Up"/>
    <x v="179"/>
    <x v="0"/>
    <n v="2015"/>
    <n v="501541661"/>
    <x v="1"/>
    <n v="4057"/>
    <x v="61"/>
    <x v="200"/>
    <n v="38472"/>
    <x v="134"/>
    <n v="625"/>
    <n v="38"/>
    <n v="35308"/>
    <n v="151"/>
    <n v="78462"/>
    <x v="59"/>
    <n v="-5"/>
    <s v="Major"/>
    <x v="41"/>
    <x v="28"/>
    <n v="10"/>
    <x v="47"/>
    <n v="224"/>
    <n v="3.7333333333333334"/>
    <n v="2"/>
    <n v="3"/>
    <n v="69"/>
  </r>
  <r>
    <s v="Uptown Funk"/>
    <x v="95"/>
    <x v="0"/>
    <n v="2015"/>
    <n v="1759567999"/>
    <x v="3"/>
    <n v="22153"/>
    <x v="122"/>
    <x v="143"/>
    <n v="30012"/>
    <x v="112"/>
    <n v="29"/>
    <n v="1"/>
    <n v="4504"/>
    <n v="14"/>
    <n v="56698"/>
    <x v="59"/>
    <n v="-7"/>
    <s v="Minor"/>
    <x v="3"/>
    <x v="63"/>
    <n v="3"/>
    <x v="58"/>
    <n v="270"/>
    <n v="4.5"/>
    <n v="1"/>
    <n v="8"/>
    <n v="82"/>
  </r>
  <r>
    <s v="Wait"/>
    <x v="25"/>
    <x v="2"/>
    <n v="2018"/>
    <n v="427486004"/>
    <x v="0"/>
    <n v="3311"/>
    <x v="154"/>
    <x v="188"/>
    <n v="37903"/>
    <x v="70"/>
    <n v="434"/>
    <n v="3"/>
    <n v="17120"/>
    <n v="373"/>
    <n v="58768"/>
    <x v="35"/>
    <n v="-5"/>
    <s v="Major"/>
    <x v="19"/>
    <x v="19"/>
    <n v="11"/>
    <x v="2"/>
    <n v="191"/>
    <n v="3.1833333333333331"/>
    <n v="10"/>
    <n v="6"/>
    <n v="85"/>
  </r>
  <r>
    <s v="Wake Me Up"/>
    <x v="53"/>
    <x v="6"/>
    <n v="2013"/>
    <n v="2280566092"/>
    <x v="3"/>
    <n v="31762"/>
    <x v="42"/>
    <x v="13"/>
    <n v="28487"/>
    <x v="13"/>
    <n v="3"/>
    <n v="43"/>
    <n v="4860"/>
    <n v="48"/>
    <n v="65112"/>
    <x v="19"/>
    <n v="-6"/>
    <s v="Major"/>
    <x v="24"/>
    <x v="8"/>
    <n v="16"/>
    <x v="47"/>
    <n v="247"/>
    <n v="4.1166666666666663"/>
    <n v="0"/>
    <n v="5"/>
    <n v="85"/>
  </r>
  <r>
    <s v="Walk On Water (feat. Beyoncé)"/>
    <x v="133"/>
    <x v="37"/>
    <n v="2018"/>
    <n v="367316268"/>
    <x v="0"/>
    <n v="2881"/>
    <x v="291"/>
    <x v="148"/>
    <n v="34347"/>
    <x v="128"/>
    <n v="251"/>
    <n v="25"/>
    <n v="20410"/>
    <n v="13"/>
    <n v="57889"/>
    <x v="55"/>
    <n v="-10"/>
    <s v="Major"/>
    <x v="47"/>
    <x v="23"/>
    <n v="64"/>
    <x v="60"/>
    <n v="304"/>
    <n v="5.0666666666666664"/>
    <n v="81"/>
    <n v="24"/>
    <n v="65"/>
  </r>
  <r>
    <s v="Walks Like Rihanna"/>
    <x v="101"/>
    <x v="15"/>
    <n v="2013"/>
    <n v="334733572"/>
    <x v="0"/>
    <n v="2590"/>
    <x v="44"/>
    <x v="22"/>
    <n v="6547"/>
    <x v="21"/>
    <n v="1925"/>
    <n v="43"/>
    <n v="1299"/>
    <n v="325"/>
    <n v="12361"/>
    <x v="35"/>
    <n v="-3"/>
    <s v="Major"/>
    <x v="23"/>
    <x v="33"/>
    <n v="10"/>
    <x v="63"/>
    <n v="202"/>
    <n v="3.3666666666666667"/>
    <n v="1"/>
    <n v="6"/>
    <n v="62"/>
  </r>
  <r>
    <s v="Want To"/>
    <x v="115"/>
    <x v="0"/>
    <n v="2018"/>
    <n v="429504768"/>
    <x v="0"/>
    <n v="3372"/>
    <x v="81"/>
    <x v="17"/>
    <n v="24307"/>
    <x v="45"/>
    <n v="15"/>
    <n v="40"/>
    <n v="28227"/>
    <n v="370"/>
    <n v="55921"/>
    <x v="42"/>
    <n v="-5"/>
    <s v="Minor"/>
    <x v="34"/>
    <x v="47"/>
    <n v="6"/>
    <x v="26"/>
    <n v="212"/>
    <n v="3.5333333333333332"/>
    <n v="8"/>
    <n v="12"/>
    <n v="67"/>
  </r>
  <r>
    <s v="Want to Want Me"/>
    <x v="172"/>
    <x v="0"/>
    <n v="2015"/>
    <n v="1109433169"/>
    <x v="3"/>
    <n v="9771"/>
    <x v="304"/>
    <x v="31"/>
    <n v="34838"/>
    <x v="29"/>
    <n v="15"/>
    <n v="46"/>
    <n v="33791"/>
    <n v="188"/>
    <n v="78415"/>
    <x v="37"/>
    <n v="-6"/>
    <s v="Major"/>
    <x v="10"/>
    <x v="27"/>
    <n v="11"/>
    <x v="3"/>
    <n v="208"/>
    <n v="3.4666666666666668"/>
    <n v="1"/>
    <n v="6"/>
    <n v="77"/>
  </r>
  <r>
    <s v="Water Under the Bridge"/>
    <x v="18"/>
    <x v="7"/>
    <n v="2017"/>
    <n v="238350348"/>
    <x v="2"/>
    <n v="1681"/>
    <x v="65"/>
    <x v="52"/>
    <n v="39394"/>
    <x v="49"/>
    <n v="62"/>
    <n v="26"/>
    <n v="7448"/>
    <n v="149"/>
    <n v="48585"/>
    <x v="56"/>
    <n v="-7"/>
    <s v="Major"/>
    <x v="4"/>
    <x v="31"/>
    <n v="11"/>
    <x v="59"/>
    <n v="240"/>
    <n v="4"/>
    <n v="2"/>
    <n v="7"/>
    <n v="49"/>
  </r>
  <r>
    <s v="Waves - Robin Schulz Radio Edit"/>
    <x v="180"/>
    <x v="42"/>
    <n v="2015"/>
    <n v="1089402494"/>
    <x v="3"/>
    <n v="9644"/>
    <x v="305"/>
    <x v="192"/>
    <n v="35641"/>
    <x v="90"/>
    <n v="4"/>
    <n v="49"/>
    <n v="29918"/>
    <n v="122"/>
    <n v="75207"/>
    <x v="7"/>
    <n v="-9"/>
    <s v="Major"/>
    <x v="73"/>
    <x v="39"/>
    <n v="8"/>
    <x v="2"/>
    <n v="208"/>
    <n v="3.4666666666666668"/>
    <n v="1"/>
    <n v="4"/>
    <n v="77"/>
  </r>
  <r>
    <s v="We Are Here"/>
    <x v="79"/>
    <x v="24"/>
    <n v="2015"/>
    <n v="239411309"/>
    <x v="2"/>
    <n v="1682"/>
    <x v="306"/>
    <x v="136"/>
    <n v="37807"/>
    <x v="105"/>
    <n v="7"/>
    <n v="15"/>
    <n v="30598"/>
    <n v="148"/>
    <n v="70094"/>
    <x v="31"/>
    <n v="-6"/>
    <s v="Major"/>
    <x v="31"/>
    <x v="32"/>
    <n v="8"/>
    <x v="79"/>
    <n v="285"/>
    <n v="4.75"/>
    <n v="43"/>
    <n v="4"/>
    <n v="49"/>
  </r>
  <r>
    <s v="We Are Never Ever Getting Back Together"/>
    <x v="5"/>
    <x v="2"/>
    <n v="2012"/>
    <n v="882831184"/>
    <x v="1"/>
    <n v="7923"/>
    <x v="307"/>
    <x v="201"/>
    <n v="8681"/>
    <x v="0"/>
    <n v="2342"/>
    <n v="173"/>
    <n v="13999"/>
    <n v="175"/>
    <n v="32945"/>
    <x v="30"/>
    <n v="-6"/>
    <s v="Minor"/>
    <x v="10"/>
    <x v="14"/>
    <n v="12"/>
    <x v="44"/>
    <n v="193"/>
    <n v="3.2166666666666668"/>
    <n v="1"/>
    <n v="9"/>
    <n v="85"/>
  </r>
  <r>
    <s v="We Are One (Ole Ola) [The Official 2014 FIFA World Cup Song]"/>
    <x v="63"/>
    <x v="0"/>
    <n v="2014"/>
    <n v="277132266"/>
    <x v="0"/>
    <n v="2035"/>
    <x v="308"/>
    <x v="22"/>
    <n v="5845"/>
    <x v="21"/>
    <n v="2"/>
    <n v="5"/>
    <n v="18847"/>
    <n v="191"/>
    <n v="26729"/>
    <x v="10"/>
    <n v="-4"/>
    <s v="Minor"/>
    <x v="48"/>
    <x v="31"/>
    <n v="10"/>
    <x v="35"/>
    <n v="222"/>
    <n v="3.7"/>
    <n v="0"/>
    <n v="7"/>
    <n v="56"/>
  </r>
  <r>
    <s v="We Are Young (feat. Janelle Monáe)"/>
    <x v="166"/>
    <x v="43"/>
    <n v="2012"/>
    <n v="345903614"/>
    <x v="0"/>
    <n v="2688"/>
    <x v="31"/>
    <x v="202"/>
    <n v="26470"/>
    <x v="17"/>
    <n v="6778"/>
    <n v="99"/>
    <n v="25671"/>
    <n v="168"/>
    <n v="61607"/>
    <x v="99"/>
    <n v="-6"/>
    <s v="Minor"/>
    <x v="57"/>
    <x v="54"/>
    <n v="8"/>
    <x v="23"/>
    <n v="251"/>
    <n v="4.1833333333333336"/>
    <n v="2"/>
    <n v="8"/>
    <n v="63"/>
  </r>
  <r>
    <s v="We Can't Stop"/>
    <x v="12"/>
    <x v="0"/>
    <n v="2013"/>
    <n v="1256880657"/>
    <x v="3"/>
    <n v="12854"/>
    <x v="200"/>
    <x v="18"/>
    <n v="25621"/>
    <x v="17"/>
    <n v="476"/>
    <n v="31"/>
    <n v="30033"/>
    <n v="106"/>
    <n v="68984"/>
    <x v="52"/>
    <n v="-6"/>
    <s v="Minor"/>
    <x v="9"/>
    <x v="42"/>
    <n v="37"/>
    <x v="21"/>
    <n v="231"/>
    <n v="3.85"/>
    <n v="1"/>
    <n v="3"/>
    <n v="78"/>
  </r>
  <r>
    <s v="We Don't Talk Anymore - DROELOE Remix"/>
    <x v="29"/>
    <x v="0"/>
    <n v="2017"/>
    <n v="299634472"/>
    <x v="0"/>
    <n v="2297"/>
    <x v="179"/>
    <x v="102"/>
    <n v="39704"/>
    <x v="87"/>
    <n v="27"/>
    <n v="15"/>
    <n v="24053"/>
    <n v="319"/>
    <n v="66081"/>
    <x v="13"/>
    <n v="-5"/>
    <s v="Minor"/>
    <x v="23"/>
    <x v="0"/>
    <n v="45"/>
    <x v="77"/>
    <n v="218"/>
    <n v="3.6333333333333333"/>
    <n v="49"/>
    <n v="22"/>
    <n v="59"/>
  </r>
  <r>
    <s v="We Found Love"/>
    <x v="21"/>
    <x v="9"/>
    <n v="2011"/>
    <n v="325592432"/>
    <x v="0"/>
    <n v="2536"/>
    <x v="256"/>
    <x v="203"/>
    <n v="16806"/>
    <x v="65"/>
    <n v="1704"/>
    <n v="129"/>
    <n v="30676"/>
    <n v="263"/>
    <n v="51722"/>
    <x v="3"/>
    <n v="-4"/>
    <s v="Minor"/>
    <x v="58"/>
    <x v="17"/>
    <n v="11"/>
    <x v="64"/>
    <n v="215"/>
    <n v="3.5833333333333335"/>
    <n v="3"/>
    <n v="4"/>
    <n v="61"/>
  </r>
  <r>
    <s v="We Own The Night"/>
    <x v="101"/>
    <x v="15"/>
    <n v="2013"/>
    <n v="279737940"/>
    <x v="0"/>
    <n v="2066"/>
    <x v="107"/>
    <x v="9"/>
    <n v="20310"/>
    <x v="9"/>
    <n v="7526"/>
    <n v="43"/>
    <n v="38027"/>
    <n v="299"/>
    <n v="67929"/>
    <x v="50"/>
    <n v="-4"/>
    <s v="Major"/>
    <x v="48"/>
    <x v="12"/>
    <n v="23"/>
    <x v="1"/>
    <n v="206"/>
    <n v="3.4333333333333331"/>
    <n v="1"/>
    <n v="13"/>
    <n v="56"/>
  </r>
  <r>
    <s v="We R Who We R"/>
    <x v="40"/>
    <x v="0"/>
    <n v="2011"/>
    <n v="685071800"/>
    <x v="1"/>
    <n v="5898"/>
    <x v="53"/>
    <x v="146"/>
    <n v="1178"/>
    <x v="98"/>
    <n v="9381"/>
    <n v="194"/>
    <n v="3576"/>
    <n v="333"/>
    <n v="20033"/>
    <x v="7"/>
    <n v="-5"/>
    <s v="Minor"/>
    <x v="23"/>
    <x v="22"/>
    <n v="12"/>
    <x v="19"/>
    <n v="205"/>
    <n v="3.4166666666666665"/>
    <n v="1"/>
    <n v="4"/>
    <n v="72"/>
  </r>
  <r>
    <s v="What About Love"/>
    <x v="137"/>
    <x v="0"/>
    <n v="2013"/>
    <n v="265548837"/>
    <x v="0"/>
    <n v="1963"/>
    <x v="81"/>
    <x v="88"/>
    <n v="11899"/>
    <x v="78"/>
    <n v="151"/>
    <n v="4"/>
    <n v="36779"/>
    <n v="47"/>
    <n v="50792"/>
    <x v="13"/>
    <n v="-7"/>
    <s v="Major"/>
    <x v="24"/>
    <x v="14"/>
    <n v="4"/>
    <x v="50"/>
    <n v="203"/>
    <n v="3.3833333333333333"/>
    <n v="0"/>
    <n v="4"/>
    <n v="54"/>
  </r>
  <r>
    <s v="What About Us"/>
    <x v="42"/>
    <x v="0"/>
    <n v="2018"/>
    <n v="399686758"/>
    <x v="0"/>
    <n v="3098"/>
    <x v="107"/>
    <x v="14"/>
    <n v="9013"/>
    <x v="14"/>
    <n v="142"/>
    <n v="49"/>
    <n v="34255"/>
    <n v="271"/>
    <n v="46508"/>
    <x v="37"/>
    <n v="-6"/>
    <s v="Minor"/>
    <x v="17"/>
    <x v="20"/>
    <n v="9"/>
    <x v="78"/>
    <n v="272"/>
    <n v="4.5333333333333332"/>
    <n v="3"/>
    <n v="6"/>
    <n v="66"/>
  </r>
  <r>
    <s v="What Do You Mean?"/>
    <x v="30"/>
    <x v="11"/>
    <n v="2015"/>
    <n v="1309887447"/>
    <x v="3"/>
    <n v="14140"/>
    <x v="309"/>
    <x v="13"/>
    <n v="29477"/>
    <x v="13"/>
    <n v="12"/>
    <n v="12"/>
    <n v="34252"/>
    <n v="201"/>
    <n v="77881"/>
    <x v="10"/>
    <n v="-8"/>
    <s v="Major"/>
    <x v="62"/>
    <x v="36"/>
    <n v="8"/>
    <x v="0"/>
    <n v="206"/>
    <n v="3.4333333333333331"/>
    <n v="59"/>
    <n v="10"/>
    <n v="79"/>
  </r>
  <r>
    <s v="What Do You Mean? - Acoustic"/>
    <x v="30"/>
    <x v="11"/>
    <n v="2015"/>
    <n v="357925728"/>
    <x v="0"/>
    <n v="2800"/>
    <x v="310"/>
    <x v="52"/>
    <n v="16089"/>
    <x v="49"/>
    <n v="15"/>
    <n v="14"/>
    <n v="14716"/>
    <n v="203"/>
    <n v="33620"/>
    <x v="10"/>
    <n v="-11"/>
    <s v="Major"/>
    <x v="75"/>
    <x v="9"/>
    <n v="10"/>
    <x v="49"/>
    <n v="204"/>
    <n v="3.4"/>
    <n v="79"/>
    <n v="4"/>
    <n v="64"/>
  </r>
  <r>
    <s v="What I Need (feat. Kehlani)"/>
    <x v="181"/>
    <x v="0"/>
    <n v="2018"/>
    <n v="428685680"/>
    <x v="0"/>
    <n v="3328"/>
    <x v="282"/>
    <x v="22"/>
    <n v="35978"/>
    <x v="21"/>
    <n v="100"/>
    <n v="22"/>
    <n v="17714"/>
    <n v="148"/>
    <n v="57120"/>
    <x v="50"/>
    <n v="-4"/>
    <s v="Minor"/>
    <x v="35"/>
    <x v="14"/>
    <n v="16"/>
    <x v="62"/>
    <n v="220"/>
    <n v="3.6666666666666665"/>
    <n v="5"/>
    <n v="6"/>
    <n v="67"/>
  </r>
  <r>
    <s v="What Lovers Do (feat. SZA)"/>
    <x v="25"/>
    <x v="2"/>
    <n v="2018"/>
    <n v="1279434863"/>
    <x v="3"/>
    <n v="13315"/>
    <x v="311"/>
    <x v="105"/>
    <n v="36126"/>
    <x v="6"/>
    <n v="95"/>
    <n v="7"/>
    <n v="9499"/>
    <n v="267"/>
    <n v="59035"/>
    <x v="41"/>
    <n v="-5"/>
    <s v="Major"/>
    <x v="19"/>
    <x v="4"/>
    <n v="10"/>
    <x v="69"/>
    <n v="200"/>
    <n v="3.3333333333333335"/>
    <n v="8"/>
    <n v="6"/>
    <n v="85"/>
  </r>
  <r>
    <s v="What Makes You Beautiful"/>
    <x v="38"/>
    <x v="15"/>
    <n v="2012"/>
    <n v="1264310836"/>
    <x v="3"/>
    <n v="12985"/>
    <x v="118"/>
    <x v="30"/>
    <n v="20423"/>
    <x v="82"/>
    <n v="7791"/>
    <n v="143"/>
    <n v="2521"/>
    <n v="95"/>
    <n v="43720"/>
    <x v="10"/>
    <n v="-2"/>
    <s v="Major"/>
    <x v="35"/>
    <x v="17"/>
    <n v="6"/>
    <x v="88"/>
    <n v="200"/>
    <n v="3.3333333333333335"/>
    <n v="1"/>
    <n v="7"/>
    <n v="78"/>
  </r>
  <r>
    <s v="What the Hell"/>
    <x v="157"/>
    <x v="11"/>
    <n v="2011"/>
    <n v="822239726"/>
    <x v="1"/>
    <n v="7324"/>
    <x v="93"/>
    <x v="127"/>
    <n v="1209"/>
    <x v="50"/>
    <n v="1723"/>
    <n v="146"/>
    <n v="26213"/>
    <n v="179"/>
    <n v="36469"/>
    <x v="28"/>
    <n v="-4"/>
    <s v="Major"/>
    <x v="40"/>
    <x v="5"/>
    <n v="14"/>
    <x v="56"/>
    <n v="221"/>
    <n v="3.6833333333333331"/>
    <n v="0"/>
    <n v="5"/>
    <n v="74"/>
  </r>
  <r>
    <s v="Whataya Want from Me"/>
    <x v="116"/>
    <x v="12"/>
    <n v="2010"/>
    <n v="422691058"/>
    <x v="0"/>
    <n v="3299"/>
    <x v="66"/>
    <x v="204"/>
    <n v="34082"/>
    <x v="81"/>
    <n v="1712"/>
    <n v="162"/>
    <n v="12317"/>
    <n v="396"/>
    <n v="51410"/>
    <x v="96"/>
    <n v="-5"/>
    <s v="Major"/>
    <x v="10"/>
    <x v="57"/>
    <n v="6"/>
    <x v="2"/>
    <n v="227"/>
    <n v="3.7833333333333332"/>
    <n v="1"/>
    <n v="5"/>
    <n v="66"/>
  </r>
  <r>
    <s v="What's My Name?"/>
    <x v="21"/>
    <x v="9"/>
    <n v="2011"/>
    <n v="518745108"/>
    <x v="1"/>
    <n v="4204"/>
    <x v="80"/>
    <x v="0"/>
    <n v="38456"/>
    <x v="53"/>
    <n v="6204"/>
    <n v="191"/>
    <n v="3093"/>
    <n v="65"/>
    <n v="51957"/>
    <x v="13"/>
    <n v="-3"/>
    <s v="Major"/>
    <x v="35"/>
    <x v="28"/>
    <n v="8"/>
    <x v="46"/>
    <n v="263"/>
    <n v="4.3833333333333337"/>
    <n v="23"/>
    <n v="7"/>
    <n v="69"/>
  </r>
  <r>
    <s v="When We Were Young"/>
    <x v="18"/>
    <x v="7"/>
    <n v="2016"/>
    <n v="290833204"/>
    <x v="0"/>
    <n v="2209"/>
    <x v="312"/>
    <x v="22"/>
    <n v="19993"/>
    <x v="21"/>
    <n v="16"/>
    <n v="6"/>
    <n v="26993"/>
    <n v="222"/>
    <n v="49211"/>
    <x v="82"/>
    <n v="-6"/>
    <s v="Minor"/>
    <x v="17"/>
    <x v="54"/>
    <n v="9"/>
    <x v="42"/>
    <n v="291"/>
    <n v="4.8499999999999996"/>
    <n v="35"/>
    <n v="5"/>
    <n v="58"/>
  </r>
  <r>
    <s v="Where Have You Been"/>
    <x v="21"/>
    <x v="9"/>
    <n v="2012"/>
    <n v="480507035"/>
    <x v="0"/>
    <n v="3794"/>
    <x v="313"/>
    <x v="205"/>
    <n v="14362"/>
    <x v="57"/>
    <n v="5149"/>
    <n v="139"/>
    <n v="3154"/>
    <n v="374"/>
    <n v="26459"/>
    <x v="3"/>
    <n v="-6"/>
    <s v="Minor"/>
    <x v="41"/>
    <x v="25"/>
    <n v="22"/>
    <x v="16"/>
    <n v="243"/>
    <n v="4.05"/>
    <n v="0"/>
    <n v="9"/>
    <n v="68"/>
  </r>
  <r>
    <s v="Wherever I Go"/>
    <x v="20"/>
    <x v="0"/>
    <n v="2016"/>
    <n v="403231558"/>
    <x v="0"/>
    <n v="3113"/>
    <x v="176"/>
    <x v="131"/>
    <n v="7734"/>
    <x v="103"/>
    <n v="790"/>
    <n v="2"/>
    <n v="6843"/>
    <n v="22"/>
    <n v="18480"/>
    <x v="13"/>
    <n v="-6"/>
    <s v="Major"/>
    <x v="34"/>
    <x v="12"/>
    <n v="27"/>
    <x v="41"/>
    <n v="170"/>
    <n v="2.8333333333333335"/>
    <n v="9"/>
    <n v="4"/>
    <n v="66"/>
  </r>
  <r>
    <s v="Wide Awake"/>
    <x v="39"/>
    <x v="0"/>
    <n v="2012"/>
    <n v="479655659"/>
    <x v="0"/>
    <n v="3788"/>
    <x v="246"/>
    <x v="50"/>
    <n v="24849"/>
    <x v="135"/>
    <n v="8099"/>
    <n v="132"/>
    <n v="24117"/>
    <n v="164"/>
    <n v="60853"/>
    <x v="4"/>
    <n v="-5"/>
    <s v="Minor"/>
    <x v="10"/>
    <x v="15"/>
    <n v="39"/>
    <x v="55"/>
    <n v="221"/>
    <n v="3.6833333333333331"/>
    <n v="7"/>
    <n v="4"/>
    <n v="68"/>
  </r>
  <r>
    <s v="Wiggle (feat. Snoop Dogg)"/>
    <x v="172"/>
    <x v="0"/>
    <n v="2014"/>
    <n v="445590495"/>
    <x v="0"/>
    <n v="3469"/>
    <x v="195"/>
    <x v="9"/>
    <n v="4007"/>
    <x v="9"/>
    <n v="10"/>
    <n v="17"/>
    <n v="5384"/>
    <n v="352"/>
    <n v="12870"/>
    <x v="55"/>
    <n v="-7"/>
    <s v="Major"/>
    <x v="9"/>
    <x v="0"/>
    <n v="16"/>
    <x v="54"/>
    <n v="193"/>
    <n v="3.2166666666666668"/>
    <n v="8"/>
    <n v="25"/>
    <n v="67"/>
  </r>
  <r>
    <s v="Wild Thoughts (feat. Rihanna &amp; Bryson Tiller)"/>
    <x v="117"/>
    <x v="0"/>
    <n v="2018"/>
    <n v="920797189"/>
    <x v="1"/>
    <n v="8327"/>
    <x v="314"/>
    <x v="52"/>
    <n v="23144"/>
    <x v="65"/>
    <n v="291"/>
    <n v="6"/>
    <n v="16034"/>
    <n v="386"/>
    <n v="47796"/>
    <x v="33"/>
    <n v="-3"/>
    <s v="Minor"/>
    <x v="31"/>
    <x v="26"/>
    <n v="12"/>
    <x v="7"/>
    <n v="204"/>
    <n v="3.4"/>
    <n v="3"/>
    <n v="7"/>
    <n v="76"/>
  </r>
  <r>
    <s v="Wings"/>
    <x v="121"/>
    <x v="8"/>
    <n v="2014"/>
    <n v="333146475"/>
    <x v="0"/>
    <n v="2585"/>
    <x v="1"/>
    <x v="206"/>
    <n v="31969"/>
    <x v="136"/>
    <n v="6284"/>
    <n v="1"/>
    <n v="21130"/>
    <n v="47"/>
    <n v="61968"/>
    <x v="101"/>
    <n v="-5"/>
    <s v="Major"/>
    <x v="0"/>
    <x v="46"/>
    <n v="16"/>
    <x v="91"/>
    <n v="252"/>
    <n v="4.2"/>
    <n v="8"/>
    <n v="3"/>
    <n v="62"/>
  </r>
  <r>
    <s v="Wish That You Were Here - From Miss Peregrines Home for Peculiar Children Original Motion Picture"/>
    <x v="80"/>
    <x v="25"/>
    <n v="2016"/>
    <n v="284908316"/>
    <x v="0"/>
    <n v="2127"/>
    <x v="222"/>
    <x v="151"/>
    <n v="25949"/>
    <x v="114"/>
    <n v="46"/>
    <n v="13"/>
    <n v="24338"/>
    <n v="209"/>
    <n v="52460"/>
    <x v="57"/>
    <n v="-6"/>
    <s v="Major"/>
    <x v="62"/>
    <x v="59"/>
    <n v="13"/>
    <x v="92"/>
    <n v="403"/>
    <n v="6.7166666666666668"/>
    <n v="72"/>
    <n v="3"/>
    <n v="57"/>
  </r>
  <r>
    <s v="Without You (feat. Usher)"/>
    <x v="7"/>
    <x v="0"/>
    <n v="2011"/>
    <n v="481697415"/>
    <x v="0"/>
    <n v="3818"/>
    <x v="73"/>
    <x v="189"/>
    <n v="29833"/>
    <x v="70"/>
    <n v="4906"/>
    <n v="114"/>
    <n v="6726"/>
    <n v="155"/>
    <n v="45283"/>
    <x v="3"/>
    <n v="-4"/>
    <s v="Major"/>
    <x v="3"/>
    <x v="42"/>
    <n v="16"/>
    <x v="4"/>
    <n v="208"/>
    <n v="3.4666666666666668"/>
    <n v="23"/>
    <n v="3"/>
    <n v="68"/>
  </r>
  <r>
    <s v="Wolves"/>
    <x v="33"/>
    <x v="0"/>
    <n v="2018"/>
    <n v="1806617704"/>
    <x v="3"/>
    <n v="23375"/>
    <x v="292"/>
    <x v="100"/>
    <n v="23252"/>
    <x v="85"/>
    <n v="531"/>
    <n v="1"/>
    <n v="9845"/>
    <n v="380"/>
    <n v="57003"/>
    <x v="10"/>
    <n v="-5"/>
    <s v="Major"/>
    <x v="6"/>
    <x v="25"/>
    <n v="20"/>
    <x v="87"/>
    <n v="198"/>
    <n v="3.3"/>
    <n v="12"/>
    <n v="4"/>
    <n v="83"/>
  </r>
  <r>
    <s v="Words as Weapons"/>
    <x v="121"/>
    <x v="8"/>
    <n v="2014"/>
    <n v="229497852"/>
    <x v="2"/>
    <n v="1608"/>
    <x v="94"/>
    <x v="101"/>
    <n v="1073"/>
    <x v="17"/>
    <n v="32"/>
    <n v="1"/>
    <n v="12410"/>
    <n v="287"/>
    <n v="15123"/>
    <x v="7"/>
    <n v="-9"/>
    <s v="Major"/>
    <x v="59"/>
    <x v="8"/>
    <n v="14"/>
    <x v="78"/>
    <n v="239"/>
    <n v="3.9833333333333334"/>
    <n v="28"/>
    <n v="3"/>
    <n v="44"/>
  </r>
  <r>
    <s v="Work"/>
    <x v="21"/>
    <x v="9"/>
    <n v="2016"/>
    <n v="1223481149"/>
    <x v="3"/>
    <n v="12353"/>
    <x v="123"/>
    <x v="22"/>
    <n v="25069"/>
    <x v="21"/>
    <n v="3"/>
    <n v="18"/>
    <n v="28622"/>
    <n v="247"/>
    <n v="66047"/>
    <x v="42"/>
    <n v="-6"/>
    <s v="Major"/>
    <x v="20"/>
    <x v="17"/>
    <n v="9"/>
    <x v="1"/>
    <n v="219"/>
    <n v="3.65"/>
    <n v="8"/>
    <n v="9"/>
    <n v="78"/>
  </r>
  <r>
    <s v="Work Bitch"/>
    <x v="0"/>
    <x v="0"/>
    <n v="2013"/>
    <n v="607123776"/>
    <x v="1"/>
    <n v="4942"/>
    <x v="315"/>
    <x v="23"/>
    <n v="32112"/>
    <x v="22"/>
    <n v="5"/>
    <n v="24"/>
    <n v="20237"/>
    <n v="231"/>
    <n v="57296"/>
    <x v="3"/>
    <n v="-7"/>
    <s v="Minor"/>
    <x v="23"/>
    <x v="14"/>
    <n v="7"/>
    <x v="68"/>
    <n v="248"/>
    <n v="4.1333333333333337"/>
    <n v="16"/>
    <n v="16"/>
    <n v="71"/>
  </r>
  <r>
    <s v="Work from Home (feat. Ty Dolla $ign)"/>
    <x v="23"/>
    <x v="0"/>
    <n v="2016"/>
    <n v="1302184087"/>
    <x v="3"/>
    <n v="13985"/>
    <x v="200"/>
    <x v="39"/>
    <n v="31351"/>
    <x v="36"/>
    <n v="270"/>
    <n v="2"/>
    <n v="27203"/>
    <n v="117"/>
    <n v="72809"/>
    <x v="70"/>
    <n v="-6"/>
    <s v="Major"/>
    <x v="17"/>
    <x v="4"/>
    <n v="6"/>
    <x v="33"/>
    <n v="214"/>
    <n v="3.5666666666666669"/>
    <n v="10"/>
    <n v="4"/>
    <n v="79"/>
  </r>
  <r>
    <s v="Worth It"/>
    <x v="23"/>
    <x v="0"/>
    <n v="2015"/>
    <n v="851070493"/>
    <x v="1"/>
    <n v="7731"/>
    <x v="316"/>
    <x v="25"/>
    <n v="33288"/>
    <x v="24"/>
    <n v="7"/>
    <n v="2"/>
    <n v="7626"/>
    <n v="295"/>
    <n v="48652"/>
    <x v="13"/>
    <n v="-4"/>
    <s v="Major"/>
    <x v="58"/>
    <x v="67"/>
    <n v="12"/>
    <x v="33"/>
    <n v="225"/>
    <n v="3.75"/>
    <n v="6"/>
    <n v="9"/>
    <n v="75"/>
  </r>
  <r>
    <s v="Wrecking Ball"/>
    <x v="12"/>
    <x v="0"/>
    <n v="2013"/>
    <n v="1122364376"/>
    <x v="3"/>
    <n v="10147"/>
    <x v="230"/>
    <x v="74"/>
    <n v="27136"/>
    <x v="65"/>
    <n v="11"/>
    <n v="13"/>
    <n v="13187"/>
    <n v="106"/>
    <n v="50481"/>
    <x v="7"/>
    <n v="-6"/>
    <s v="Major"/>
    <x v="64"/>
    <x v="8"/>
    <n v="11"/>
    <x v="41"/>
    <n v="221"/>
    <n v="3.6833333333333331"/>
    <n v="41"/>
    <n v="3"/>
    <n v="77"/>
  </r>
  <r>
    <s v="Written in the Stars (feat. Eric Turner)"/>
    <x v="182"/>
    <x v="0"/>
    <n v="2010"/>
    <n v="256483385"/>
    <x v="0"/>
    <n v="1929"/>
    <x v="84"/>
    <x v="207"/>
    <n v="14214"/>
    <x v="128"/>
    <n v="8241"/>
    <n v="199"/>
    <n v="31642"/>
    <n v="201"/>
    <n v="56026"/>
    <x v="95"/>
    <n v="-4"/>
    <s v="Major"/>
    <x v="16"/>
    <x v="32"/>
    <n v="18"/>
    <x v="55"/>
    <n v="220"/>
    <n v="3.6666666666666665"/>
    <n v="6"/>
    <n v="7"/>
    <n v="52"/>
  </r>
  <r>
    <s v="WTF (Where They From)"/>
    <x v="149"/>
    <x v="0"/>
    <n v="2016"/>
    <n v="293186992"/>
    <x v="0"/>
    <n v="2226"/>
    <x v="253"/>
    <x v="31"/>
    <n v="11856"/>
    <x v="29"/>
    <n v="70"/>
    <n v="16"/>
    <n v="27415"/>
    <n v="217"/>
    <n v="41567"/>
    <x v="7"/>
    <n v="-3"/>
    <s v="Minor"/>
    <x v="23"/>
    <x v="37"/>
    <n v="6"/>
    <x v="1"/>
    <n v="193"/>
    <n v="3.2166666666666668"/>
    <n v="2"/>
    <n v="20"/>
    <n v="58"/>
  </r>
  <r>
    <s v="XO"/>
    <x v="1"/>
    <x v="0"/>
    <n v="2014"/>
    <n v="278920007"/>
    <x v="0"/>
    <n v="2040"/>
    <x v="317"/>
    <x v="148"/>
    <n v="24718"/>
    <x v="128"/>
    <n v="4623"/>
    <n v="1"/>
    <n v="29531"/>
    <n v="299"/>
    <n v="60912"/>
    <x v="86"/>
    <n v="-9"/>
    <s v="Major"/>
    <x v="35"/>
    <x v="46"/>
    <n v="31"/>
    <x v="75"/>
    <n v="216"/>
    <n v="3.6"/>
    <n v="17"/>
    <n v="26"/>
    <n v="56"/>
  </r>
  <r>
    <s v="Yeah 3x"/>
    <x v="143"/>
    <x v="0"/>
    <n v="2011"/>
    <n v="516784627"/>
    <x v="1"/>
    <n v="4198"/>
    <x v="4"/>
    <x v="208"/>
    <n v="9165"/>
    <x v="31"/>
    <n v="1357"/>
    <n v="55"/>
    <n v="32121"/>
    <n v="341"/>
    <n v="46841"/>
    <x v="9"/>
    <n v="-3"/>
    <s v="Major"/>
    <x v="8"/>
    <x v="30"/>
    <n v="9"/>
    <x v="57"/>
    <n v="242"/>
    <n v="4.0333333333333332"/>
    <n v="0"/>
    <n v="4"/>
    <n v="69"/>
  </r>
  <r>
    <s v="Yesterday (feat. Bebe Rexha)"/>
    <x v="7"/>
    <x v="0"/>
    <n v="2015"/>
    <n v="233801632"/>
    <x v="2"/>
    <n v="1638"/>
    <x v="318"/>
    <x v="47"/>
    <n v="22943"/>
    <x v="38"/>
    <n v="29"/>
    <n v="19"/>
    <n v="10967"/>
    <n v="26"/>
    <n v="35577"/>
    <x v="3"/>
    <n v="-4"/>
    <s v="Major"/>
    <x v="24"/>
    <x v="47"/>
    <n v="33"/>
    <x v="50"/>
    <n v="243"/>
    <n v="4.05"/>
    <n v="2"/>
    <n v="3"/>
    <n v="46"/>
  </r>
  <r>
    <s v="You And I"/>
    <x v="14"/>
    <x v="0"/>
    <n v="2011"/>
    <n v="363467642"/>
    <x v="0"/>
    <n v="2844"/>
    <x v="308"/>
    <x v="126"/>
    <n v="32286"/>
    <x v="84"/>
    <n v="535"/>
    <n v="160"/>
    <n v="3654"/>
    <n v="104"/>
    <n v="39319"/>
    <x v="53"/>
    <n v="-5"/>
    <s v="Major"/>
    <x v="37"/>
    <x v="55"/>
    <n v="9"/>
    <x v="11"/>
    <n v="307"/>
    <n v="5.1166666666666663"/>
    <n v="9"/>
    <n v="5"/>
    <n v="64"/>
  </r>
  <r>
    <s v="You Da One"/>
    <x v="21"/>
    <x v="9"/>
    <n v="2012"/>
    <n v="287278853"/>
    <x v="0"/>
    <n v="2171"/>
    <x v="319"/>
    <x v="28"/>
    <n v="7898"/>
    <x v="81"/>
    <n v="7129"/>
    <n v="193"/>
    <n v="39385"/>
    <n v="140"/>
    <n v="56583"/>
    <x v="53"/>
    <n v="-5"/>
    <s v="Minor"/>
    <x v="33"/>
    <x v="0"/>
    <n v="13"/>
    <x v="36"/>
    <n v="200"/>
    <n v="3.3333333333333335"/>
    <n v="50"/>
    <n v="4"/>
    <n v="57"/>
  </r>
  <r>
    <s v="You Lost Me"/>
    <x v="49"/>
    <x v="0"/>
    <n v="2010"/>
    <n v="282883169"/>
    <x v="0"/>
    <n v="2092"/>
    <x v="320"/>
    <x v="209"/>
    <n v="17199"/>
    <x v="37"/>
    <n v="1564"/>
    <n v="174"/>
    <n v="14054"/>
    <n v="363"/>
    <n v="34909"/>
    <x v="102"/>
    <n v="-6"/>
    <s v="Major"/>
    <x v="61"/>
    <x v="69"/>
    <n v="14"/>
    <x v="48"/>
    <n v="257"/>
    <n v="4.2833333333333332"/>
    <n v="85"/>
    <n v="4"/>
    <n v="56"/>
  </r>
  <r>
    <s v="Young Girls"/>
    <x v="6"/>
    <x v="2"/>
    <n v="2014"/>
    <n v="445763624"/>
    <x v="0"/>
    <n v="3486"/>
    <x v="321"/>
    <x v="13"/>
    <n v="2011"/>
    <x v="83"/>
    <n v="11"/>
    <n v="12"/>
    <n v="10861"/>
    <n v="26"/>
    <n v="16369"/>
    <x v="35"/>
    <n v="-5"/>
    <s v="Major"/>
    <x v="18"/>
    <x v="33"/>
    <n v="21"/>
    <x v="5"/>
    <n v="229"/>
    <n v="3.8166666666666669"/>
    <n v="46"/>
    <n v="3"/>
    <n v="85"/>
  </r>
  <r>
    <s v="Younger Now"/>
    <x v="12"/>
    <x v="0"/>
    <n v="2017"/>
    <n v="330881149"/>
    <x v="0"/>
    <n v="2575"/>
    <x v="322"/>
    <x v="159"/>
    <n v="34141"/>
    <x v="52"/>
    <n v="30"/>
    <n v="24"/>
    <n v="17058"/>
    <n v="49"/>
    <n v="53804"/>
    <x v="47"/>
    <n v="-5"/>
    <s v="Minor"/>
    <x v="27"/>
    <x v="12"/>
    <n v="14"/>
    <x v="18"/>
    <n v="249"/>
    <n v="4.1500000000000004"/>
    <n v="0"/>
    <n v="6"/>
    <n v="62"/>
  </r>
  <r>
    <s v="Your Love Is My Drug"/>
    <x v="40"/>
    <x v="0"/>
    <n v="2010"/>
    <n v="527033089"/>
    <x v="1"/>
    <n v="4260"/>
    <x v="236"/>
    <x v="144"/>
    <n v="2188"/>
    <x v="37"/>
    <n v="1827"/>
    <n v="83"/>
    <n v="38307"/>
    <n v="225"/>
    <n v="46582"/>
    <x v="7"/>
    <n v="-4"/>
    <s v="Major"/>
    <x v="3"/>
    <x v="39"/>
    <n v="9"/>
    <x v="49"/>
    <n v="187"/>
    <n v="3.1166666666666667"/>
    <n v="1"/>
    <n v="10"/>
    <n v="69"/>
  </r>
  <r>
    <s v="You're Mine (Eternal)"/>
    <x v="2"/>
    <x v="0"/>
    <n v="2014"/>
    <n v="213505179"/>
    <x v="2"/>
    <n v="1494"/>
    <x v="52"/>
    <x v="194"/>
    <n v="13580"/>
    <x v="23"/>
    <n v="266"/>
    <n v="1"/>
    <n v="18258"/>
    <n v="37"/>
    <n v="33598"/>
    <x v="76"/>
    <n v="-7"/>
    <s v="Major"/>
    <x v="39"/>
    <x v="14"/>
    <n v="38"/>
    <x v="1"/>
    <n v="224"/>
    <n v="3.7333333333333334"/>
    <n v="28"/>
    <n v="7"/>
    <n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DBA959-AA21-42C6-95D1-F146F60EAA5A}" name="PivotTable2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8" firstHeaderRow="0" firstDataRow="1" firstDataCol="1"/>
  <pivotFields count="28"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dataField="1" compact="0" outline="0" showAll="0">
      <items count="104">
        <item x="102"/>
        <item x="5"/>
        <item x="24"/>
        <item x="97"/>
        <item x="88"/>
        <item x="100"/>
        <item x="69"/>
        <item x="18"/>
        <item x="62"/>
        <item x="52"/>
        <item x="85"/>
        <item x="55"/>
        <item x="101"/>
        <item x="34"/>
        <item x="58"/>
        <item x="30"/>
        <item x="39"/>
        <item x="78"/>
        <item x="36"/>
        <item x="17"/>
        <item x="95"/>
        <item x="42"/>
        <item x="31"/>
        <item x="57"/>
        <item x="56"/>
        <item x="73"/>
        <item x="45"/>
        <item x="33"/>
        <item x="12"/>
        <item x="13"/>
        <item x="98"/>
        <item x="38"/>
        <item x="22"/>
        <item x="50"/>
        <item x="70"/>
        <item x="40"/>
        <item x="2"/>
        <item x="29"/>
        <item x="60"/>
        <item x="41"/>
        <item x="74"/>
        <item x="87"/>
        <item x="32"/>
        <item x="37"/>
        <item x="59"/>
        <item x="48"/>
        <item x="94"/>
        <item x="25"/>
        <item x="27"/>
        <item x="7"/>
        <item x="26"/>
        <item x="47"/>
        <item x="49"/>
        <item x="19"/>
        <item x="10"/>
        <item x="35"/>
        <item x="53"/>
        <item x="3"/>
        <item x="43"/>
        <item x="9"/>
        <item x="83"/>
        <item x="61"/>
        <item x="79"/>
        <item x="14"/>
        <item x="0"/>
        <item x="1"/>
        <item x="51"/>
        <item x="11"/>
        <item x="23"/>
        <item x="15"/>
        <item x="82"/>
        <item x="6"/>
        <item x="16"/>
        <item x="8"/>
        <item x="76"/>
        <item x="28"/>
        <item x="21"/>
        <item x="67"/>
        <item x="68"/>
        <item x="77"/>
        <item x="66"/>
        <item x="4"/>
        <item x="89"/>
        <item x="44"/>
        <item x="92"/>
        <item x="91"/>
        <item x="86"/>
        <item x="93"/>
        <item x="54"/>
        <item x="64"/>
        <item x="72"/>
        <item x="63"/>
        <item x="65"/>
        <item x="80"/>
        <item x="75"/>
        <item x="99"/>
        <item x="46"/>
        <item x="96"/>
        <item x="20"/>
        <item x="84"/>
        <item x="81"/>
        <item x="90"/>
        <item x="71"/>
        <item t="default"/>
      </items>
    </pivotField>
    <pivotField compact="0" outline="0" showAll="0"/>
    <pivotField compact="0" outline="0" showAll="0"/>
    <pivotField dataField="1" compact="0" outline="0" showAll="0">
      <items count="77">
        <item x="72"/>
        <item x="66"/>
        <item x="69"/>
        <item x="28"/>
        <item x="44"/>
        <item x="15"/>
        <item x="51"/>
        <item x="14"/>
        <item x="67"/>
        <item x="65"/>
        <item x="63"/>
        <item x="70"/>
        <item x="45"/>
        <item x="59"/>
        <item x="75"/>
        <item x="49"/>
        <item x="5"/>
        <item x="61"/>
        <item x="74"/>
        <item x="11"/>
        <item x="64"/>
        <item x="71"/>
        <item x="47"/>
        <item x="25"/>
        <item x="52"/>
        <item x="7"/>
        <item x="50"/>
        <item x="56"/>
        <item x="55"/>
        <item x="73"/>
        <item x="30"/>
        <item x="20"/>
        <item x="42"/>
        <item x="26"/>
        <item x="54"/>
        <item x="62"/>
        <item x="39"/>
        <item x="17"/>
        <item x="19"/>
        <item x="3"/>
        <item x="9"/>
        <item x="60"/>
        <item x="57"/>
        <item x="29"/>
        <item x="12"/>
        <item x="31"/>
        <item x="10"/>
        <item x="34"/>
        <item x="37"/>
        <item x="0"/>
        <item x="33"/>
        <item x="32"/>
        <item x="22"/>
        <item x="18"/>
        <item x="1"/>
        <item x="58"/>
        <item x="24"/>
        <item x="35"/>
        <item x="6"/>
        <item x="36"/>
        <item x="23"/>
        <item x="21"/>
        <item x="4"/>
        <item x="41"/>
        <item x="13"/>
        <item x="27"/>
        <item x="8"/>
        <item x="53"/>
        <item x="38"/>
        <item x="43"/>
        <item x="2"/>
        <item x="40"/>
        <item x="48"/>
        <item x="16"/>
        <item x="46"/>
        <item x="68"/>
        <item t="default"/>
      </items>
    </pivotField>
    <pivotField dataField="1" compact="0" outline="0" showAll="0">
      <items count="71">
        <item x="64"/>
        <item x="69"/>
        <item x="48"/>
        <item x="51"/>
        <item x="24"/>
        <item x="38"/>
        <item x="6"/>
        <item x="52"/>
        <item x="66"/>
        <item x="43"/>
        <item x="60"/>
        <item x="56"/>
        <item x="59"/>
        <item x="54"/>
        <item x="20"/>
        <item x="65"/>
        <item x="35"/>
        <item x="13"/>
        <item x="10"/>
        <item x="57"/>
        <item x="40"/>
        <item x="62"/>
        <item x="46"/>
        <item x="23"/>
        <item x="53"/>
        <item x="45"/>
        <item x="15"/>
        <item x="55"/>
        <item x="8"/>
        <item x="50"/>
        <item x="12"/>
        <item x="33"/>
        <item x="47"/>
        <item x="5"/>
        <item x="18"/>
        <item x="31"/>
        <item x="42"/>
        <item x="41"/>
        <item x="14"/>
        <item x="32"/>
        <item x="34"/>
        <item x="19"/>
        <item x="26"/>
        <item x="2"/>
        <item x="28"/>
        <item x="0"/>
        <item x="30"/>
        <item x="25"/>
        <item x="17"/>
        <item x="22"/>
        <item x="1"/>
        <item x="11"/>
        <item x="9"/>
        <item x="27"/>
        <item x="3"/>
        <item x="4"/>
        <item x="16"/>
        <item x="7"/>
        <item x="39"/>
        <item x="58"/>
        <item x="36"/>
        <item x="63"/>
        <item x="68"/>
        <item x="67"/>
        <item x="44"/>
        <item x="49"/>
        <item x="61"/>
        <item x="37"/>
        <item x="21"/>
        <item x="29"/>
        <item t="default"/>
      </items>
    </pivotField>
    <pivotField compact="0" outline="0" showAll="0"/>
    <pivotField dataField="1" compact="0" outline="0" showAll="0">
      <items count="94">
        <item x="73"/>
        <item x="48"/>
        <item x="79"/>
        <item x="76"/>
        <item x="66"/>
        <item x="28"/>
        <item x="92"/>
        <item x="22"/>
        <item x="34"/>
        <item x="72"/>
        <item x="12"/>
        <item x="80"/>
        <item x="61"/>
        <item x="78"/>
        <item x="13"/>
        <item x="75"/>
        <item x="91"/>
        <item x="38"/>
        <item x="81"/>
        <item x="10"/>
        <item x="6"/>
        <item x="42"/>
        <item x="50"/>
        <item x="51"/>
        <item x="20"/>
        <item x="87"/>
        <item x="26"/>
        <item x="18"/>
        <item x="9"/>
        <item x="41"/>
        <item x="84"/>
        <item x="15"/>
        <item x="25"/>
        <item x="65"/>
        <item x="4"/>
        <item x="62"/>
        <item x="69"/>
        <item x="63"/>
        <item x="16"/>
        <item x="2"/>
        <item x="45"/>
        <item x="59"/>
        <item x="21"/>
        <item x="39"/>
        <item x="5"/>
        <item x="71"/>
        <item x="11"/>
        <item x="8"/>
        <item x="30"/>
        <item x="35"/>
        <item x="1"/>
        <item x="55"/>
        <item x="46"/>
        <item x="33"/>
        <item x="64"/>
        <item x="31"/>
        <item x="60"/>
        <item x="7"/>
        <item x="47"/>
        <item x="19"/>
        <item x="3"/>
        <item x="77"/>
        <item x="74"/>
        <item x="37"/>
        <item x="57"/>
        <item x="32"/>
        <item x="54"/>
        <item x="27"/>
        <item x="23"/>
        <item x="44"/>
        <item x="49"/>
        <item x="86"/>
        <item x="67"/>
        <item x="0"/>
        <item x="29"/>
        <item x="43"/>
        <item x="14"/>
        <item x="52"/>
        <item x="40"/>
        <item x="68"/>
        <item x="36"/>
        <item x="82"/>
        <item x="56"/>
        <item x="88"/>
        <item x="53"/>
        <item x="24"/>
        <item x="83"/>
        <item x="58"/>
        <item x="89"/>
        <item x="70"/>
        <item x="17"/>
        <item x="90"/>
        <item x="85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Energy" fld="19" subtotal="average" baseField="0" baseItem="0"/>
    <dataField name="Average of Danceability" fld="20" subtotal="average" baseField="0" baseItem="0"/>
    <dataField name="Average of Valence" fld="22" subtotal="average" baseField="0" baseItem="0"/>
    <dataField name="Average of Bpm" fld="16" subtotal="average" baseField="0" baseItem="0"/>
  </dataFields>
  <formats count="3">
    <format dxfId="39">
      <pivotArea outline="0" fieldPosition="0">
        <references count="1">
          <reference field="5" count="0" selected="0"/>
        </references>
      </pivotArea>
    </format>
    <format dxfId="40">
      <pivotArea dataOnly="0" labelOnly="1" outline="0" fieldPosition="0">
        <references count="1">
          <reference field="5" count="0"/>
        </references>
      </pivotArea>
    </format>
    <format dxfId="41">
      <pivotArea outline="0" collapsedLevelsAreSubtotals="1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3F9DB-9026-4B2A-A011-E0C8032347B7}" name="PivotTable4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18:E29" firstHeaderRow="0" firstDataRow="1" firstDataCol="1"/>
  <pivotFields count="28">
    <pivotField compact="0" outline="0" showAll="0"/>
    <pivotField axis="axisRow" compact="0" outline="0" showAll="0" measureFilter="1" sortType="descending">
      <items count="184">
        <item x="140"/>
        <item x="162"/>
        <item x="160"/>
        <item x="116"/>
        <item x="18"/>
        <item x="175"/>
        <item x="107"/>
        <item x="108"/>
        <item x="79"/>
        <item x="169"/>
        <item x="51"/>
        <item x="137"/>
        <item x="53"/>
        <item x="157"/>
        <item x="151"/>
        <item x="92"/>
        <item x="1"/>
        <item x="121"/>
        <item x="88"/>
        <item x="0"/>
        <item x="6"/>
        <item x="41"/>
        <item x="74"/>
        <item x="45"/>
        <item x="55"/>
        <item x="130"/>
        <item x="48"/>
        <item x="29"/>
        <item x="143"/>
        <item x="49"/>
        <item x="11"/>
        <item x="147"/>
        <item x="153"/>
        <item x="155"/>
        <item x="9"/>
        <item x="70"/>
        <item x="99"/>
        <item x="174"/>
        <item x="7"/>
        <item x="46"/>
        <item x="122"/>
        <item x="117"/>
        <item x="125"/>
        <item x="43"/>
        <item x="111"/>
        <item x="115"/>
        <item x="26"/>
        <item x="27"/>
        <item x="66"/>
        <item x="133"/>
        <item x="94"/>
        <item x="127"/>
        <item x="10"/>
        <item x="23"/>
        <item x="67"/>
        <item x="80"/>
        <item x="166"/>
        <item x="156"/>
        <item x="110"/>
        <item x="31"/>
        <item x="168"/>
        <item x="61"/>
        <item x="32"/>
        <item x="164"/>
        <item x="181"/>
        <item x="128"/>
        <item x="176"/>
        <item x="170"/>
        <item x="114"/>
        <item x="91"/>
        <item x="136"/>
        <item x="119"/>
        <item x="54"/>
        <item x="172"/>
        <item x="75"/>
        <item x="13"/>
        <item x="82"/>
        <item x="34"/>
        <item x="97"/>
        <item x="150"/>
        <item x="19"/>
        <item x="131"/>
        <item x="135"/>
        <item x="145"/>
        <item x="30"/>
        <item x="60"/>
        <item x="138"/>
        <item x="39"/>
        <item x="106"/>
        <item x="98"/>
        <item x="40"/>
        <item x="171"/>
        <item x="96"/>
        <item x="37"/>
        <item x="14"/>
        <item x="129"/>
        <item x="57"/>
        <item x="167"/>
        <item x="90"/>
        <item x="152"/>
        <item x="163"/>
        <item x="113"/>
        <item x="102"/>
        <item x="148"/>
        <item x="173"/>
        <item x="154"/>
        <item x="77"/>
        <item x="8"/>
        <item x="83"/>
        <item x="58"/>
        <item x="100"/>
        <item x="158"/>
        <item x="68"/>
        <item x="2"/>
        <item x="95"/>
        <item x="25"/>
        <item x="105"/>
        <item x="120"/>
        <item x="16"/>
        <item x="132"/>
        <item x="72"/>
        <item x="12"/>
        <item x="149"/>
        <item x="93"/>
        <item x="180"/>
        <item x="124"/>
        <item x="159"/>
        <item x="36"/>
        <item x="24"/>
        <item x="126"/>
        <item x="165"/>
        <item x="64"/>
        <item x="22"/>
        <item x="179"/>
        <item x="38"/>
        <item x="20"/>
        <item x="103"/>
        <item x="42"/>
        <item x="146"/>
        <item x="35"/>
        <item x="69"/>
        <item x="63"/>
        <item x="17"/>
        <item x="47"/>
        <item x="139"/>
        <item x="21"/>
        <item x="28"/>
        <item x="144"/>
        <item x="44"/>
        <item x="123"/>
        <item x="112"/>
        <item x="50"/>
        <item x="87"/>
        <item x="33"/>
        <item x="134"/>
        <item x="177"/>
        <item x="59"/>
        <item x="81"/>
        <item x="15"/>
        <item x="56"/>
        <item x="89"/>
        <item x="178"/>
        <item x="73"/>
        <item x="84"/>
        <item x="62"/>
        <item x="52"/>
        <item x="5"/>
        <item x="118"/>
        <item x="3"/>
        <item x="104"/>
        <item x="101"/>
        <item x="86"/>
        <item x="182"/>
        <item x="71"/>
        <item x="109"/>
        <item x="141"/>
        <item x="78"/>
        <item x="4"/>
        <item x="161"/>
        <item x="76"/>
        <item x="142"/>
        <item x="85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dataField="1" compact="0" outline="0" showAll="0">
      <items count="324">
        <item x="167"/>
        <item x="20"/>
        <item x="42"/>
        <item x="157"/>
        <item x="177"/>
        <item x="161"/>
        <item x="295"/>
        <item x="301"/>
        <item x="234"/>
        <item x="296"/>
        <item x="238"/>
        <item x="174"/>
        <item x="290"/>
        <item x="143"/>
        <item x="164"/>
        <item x="211"/>
        <item x="292"/>
        <item x="33"/>
        <item x="122"/>
        <item x="13"/>
        <item x="274"/>
        <item x="137"/>
        <item x="278"/>
        <item x="237"/>
        <item x="220"/>
        <item x="9"/>
        <item x="69"/>
        <item x="270"/>
        <item x="148"/>
        <item x="184"/>
        <item x="231"/>
        <item x="297"/>
        <item x="153"/>
        <item x="203"/>
        <item x="111"/>
        <item x="146"/>
        <item x="67"/>
        <item x="181"/>
        <item x="38"/>
        <item x="155"/>
        <item x="118"/>
        <item x="100"/>
        <item x="112"/>
        <item x="311"/>
        <item x="265"/>
        <item x="309"/>
        <item x="74"/>
        <item x="200"/>
        <item x="186"/>
        <item x="263"/>
        <item x="235"/>
        <item x="206"/>
        <item x="102"/>
        <item x="277"/>
        <item x="214"/>
        <item x="178"/>
        <item x="51"/>
        <item x="99"/>
        <item x="123"/>
        <item x="116"/>
        <item x="250"/>
        <item x="305"/>
        <item x="141"/>
        <item x="132"/>
        <item x="180"/>
        <item x="314"/>
        <item x="104"/>
        <item x="219"/>
        <item x="34"/>
        <item x="36"/>
        <item x="68"/>
        <item x="27"/>
        <item x="209"/>
        <item x="158"/>
        <item x="226"/>
        <item x="266"/>
        <item x="28"/>
        <item x="304"/>
        <item x="230"/>
        <item x="307"/>
        <item x="210"/>
        <item x="75"/>
        <item x="192"/>
        <item x="246"/>
        <item x="82"/>
        <item x="152"/>
        <item x="239"/>
        <item x="188"/>
        <item x="144"/>
        <item x="18"/>
        <item x="299"/>
        <item x="41"/>
        <item x="279"/>
        <item x="29"/>
        <item x="17"/>
        <item x="109"/>
        <item x="281"/>
        <item x="126"/>
        <item x="96"/>
        <item x="272"/>
        <item x="46"/>
        <item x="97"/>
        <item x="229"/>
        <item x="50"/>
        <item x="39"/>
        <item x="247"/>
        <item x="162"/>
        <item x="93"/>
        <item x="49"/>
        <item x="244"/>
        <item x="54"/>
        <item x="321"/>
        <item x="185"/>
        <item x="284"/>
        <item x="253"/>
        <item x="197"/>
        <item x="16"/>
        <item x="242"/>
        <item x="81"/>
        <item x="163"/>
        <item x="108"/>
        <item x="283"/>
        <item x="85"/>
        <item x="26"/>
        <item x="166"/>
        <item x="124"/>
        <item x="89"/>
        <item x="32"/>
        <item x="70"/>
        <item x="131"/>
        <item x="316"/>
        <item x="213"/>
        <item x="205"/>
        <item x="267"/>
        <item x="147"/>
        <item x="136"/>
        <item x="182"/>
        <item x="240"/>
        <item x="80"/>
        <item x="15"/>
        <item x="196"/>
        <item x="306"/>
        <item x="228"/>
        <item x="280"/>
        <item x="257"/>
        <item x="254"/>
        <item x="125"/>
        <item x="288"/>
        <item x="195"/>
        <item x="8"/>
        <item x="43"/>
        <item x="291"/>
        <item x="168"/>
        <item x="22"/>
        <item x="66"/>
        <item x="275"/>
        <item x="169"/>
        <item x="150"/>
        <item x="310"/>
        <item x="175"/>
        <item x="37"/>
        <item x="286"/>
        <item x="227"/>
        <item x="59"/>
        <item x="101"/>
        <item x="121"/>
        <item x="251"/>
        <item x="106"/>
        <item x="171"/>
        <item x="193"/>
        <item x="72"/>
        <item x="64"/>
        <item x="165"/>
        <item x="236"/>
        <item x="91"/>
        <item x="216"/>
        <item x="218"/>
        <item x="127"/>
        <item x="35"/>
        <item x="52"/>
        <item x="95"/>
        <item x="129"/>
        <item x="63"/>
        <item x="45"/>
        <item x="312"/>
        <item x="86"/>
        <item x="55"/>
        <item x="225"/>
        <item x="110"/>
        <item x="138"/>
        <item x="233"/>
        <item x="232"/>
        <item x="199"/>
        <item x="0"/>
        <item x="302"/>
        <item x="264"/>
        <item x="133"/>
        <item x="212"/>
        <item x="260"/>
        <item x="313"/>
        <item x="103"/>
        <item x="183"/>
        <item x="252"/>
        <item x="245"/>
        <item x="243"/>
        <item x="117"/>
        <item x="5"/>
        <item x="114"/>
        <item x="58"/>
        <item x="140"/>
        <item x="88"/>
        <item x="289"/>
        <item x="224"/>
        <item x="261"/>
        <item x="207"/>
        <item x="172"/>
        <item x="98"/>
        <item x="84"/>
        <item x="107"/>
        <item x="119"/>
        <item x="47"/>
        <item x="151"/>
        <item x="300"/>
        <item x="189"/>
        <item x="25"/>
        <item x="94"/>
        <item x="223"/>
        <item x="262"/>
        <item x="130"/>
        <item x="315"/>
        <item x="187"/>
        <item x="14"/>
        <item x="285"/>
        <item x="222"/>
        <item x="19"/>
        <item x="76"/>
        <item x="173"/>
        <item x="2"/>
        <item x="276"/>
        <item x="113"/>
        <item x="160"/>
        <item x="317"/>
        <item x="21"/>
        <item x="6"/>
        <item x="71"/>
        <item x="198"/>
        <item x="3"/>
        <item x="215"/>
        <item x="62"/>
        <item x="120"/>
        <item x="255"/>
        <item x="83"/>
        <item x="40"/>
        <item x="322"/>
        <item x="10"/>
        <item x="191"/>
        <item x="217"/>
        <item x="269"/>
        <item x="273"/>
        <item x="241"/>
        <item x="204"/>
        <item x="139"/>
        <item x="179"/>
        <item x="176"/>
        <item x="12"/>
        <item x="23"/>
        <item x="149"/>
        <item x="201"/>
        <item x="24"/>
        <item x="319"/>
        <item x="48"/>
        <item x="282"/>
        <item x="61"/>
        <item x="249"/>
        <item x="73"/>
        <item x="128"/>
        <item x="105"/>
        <item x="308"/>
        <item x="221"/>
        <item x="78"/>
        <item x="44"/>
        <item x="318"/>
        <item x="287"/>
        <item x="134"/>
        <item x="60"/>
        <item x="92"/>
        <item x="115"/>
        <item x="57"/>
        <item x="87"/>
        <item x="1"/>
        <item x="79"/>
        <item x="56"/>
        <item x="31"/>
        <item x="320"/>
        <item x="154"/>
        <item x="268"/>
        <item x="90"/>
        <item x="248"/>
        <item x="65"/>
        <item x="202"/>
        <item x="53"/>
        <item x="159"/>
        <item x="77"/>
        <item x="7"/>
        <item x="190"/>
        <item x="293"/>
        <item x="256"/>
        <item x="142"/>
        <item x="11"/>
        <item x="145"/>
        <item x="271"/>
        <item x="194"/>
        <item x="170"/>
        <item x="303"/>
        <item x="156"/>
        <item x="135"/>
        <item x="298"/>
        <item x="258"/>
        <item x="4"/>
        <item x="30"/>
        <item x="208"/>
        <item x="259"/>
        <item x="294"/>
        <item t="default"/>
      </items>
    </pivotField>
    <pivotField dataField="1" compact="0" outline="0" showAll="0">
      <items count="211">
        <item x="52"/>
        <item x="16"/>
        <item x="13"/>
        <item x="57"/>
        <item x="47"/>
        <item x="5"/>
        <item x="31"/>
        <item x="39"/>
        <item x="22"/>
        <item x="27"/>
        <item x="63"/>
        <item x="2"/>
        <item x="110"/>
        <item x="11"/>
        <item x="9"/>
        <item x="43"/>
        <item x="23"/>
        <item x="25"/>
        <item x="7"/>
        <item x="136"/>
        <item x="17"/>
        <item x="138"/>
        <item x="19"/>
        <item x="32"/>
        <item x="128"/>
        <item x="144"/>
        <item x="143"/>
        <item x="112"/>
        <item x="38"/>
        <item x="44"/>
        <item x="1"/>
        <item x="111"/>
        <item x="135"/>
        <item x="62"/>
        <item x="80"/>
        <item x="151"/>
        <item x="79"/>
        <item x="8"/>
        <item x="109"/>
        <item x="97"/>
        <item x="48"/>
        <item x="68"/>
        <item x="150"/>
        <item x="102"/>
        <item x="36"/>
        <item x="20"/>
        <item x="75"/>
        <item x="85"/>
        <item x="29"/>
        <item x="34"/>
        <item x="74"/>
        <item x="103"/>
        <item x="91"/>
        <item x="105"/>
        <item x="40"/>
        <item x="94"/>
        <item x="181"/>
        <item x="77"/>
        <item x="173"/>
        <item x="127"/>
        <item x="159"/>
        <item x="122"/>
        <item x="189"/>
        <item x="18"/>
        <item x="130"/>
        <item x="101"/>
        <item x="194"/>
        <item x="192"/>
        <item x="70"/>
        <item x="170"/>
        <item x="187"/>
        <item x="14"/>
        <item x="120"/>
        <item x="139"/>
        <item x="84"/>
        <item x="49"/>
        <item x="123"/>
        <item x="59"/>
        <item x="121"/>
        <item x="100"/>
        <item x="65"/>
        <item x="154"/>
        <item x="98"/>
        <item x="188"/>
        <item x="116"/>
        <item x="50"/>
        <item x="93"/>
        <item x="81"/>
        <item x="26"/>
        <item x="155"/>
        <item x="131"/>
        <item x="72"/>
        <item x="160"/>
        <item x="148"/>
        <item x="73"/>
        <item x="4"/>
        <item x="15"/>
        <item x="207"/>
        <item x="104"/>
        <item x="95"/>
        <item x="35"/>
        <item x="3"/>
        <item x="86"/>
        <item x="88"/>
        <item x="28"/>
        <item x="164"/>
        <item x="175"/>
        <item x="66"/>
        <item x="89"/>
        <item x="53"/>
        <item x="180"/>
        <item x="45"/>
        <item x="133"/>
        <item x="118"/>
        <item x="87"/>
        <item x="146"/>
        <item x="51"/>
        <item x="161"/>
        <item x="169"/>
        <item x="195"/>
        <item x="200"/>
        <item x="172"/>
        <item x="176"/>
        <item x="129"/>
        <item x="58"/>
        <item x="115"/>
        <item x="125"/>
        <item x="205"/>
        <item x="56"/>
        <item x="145"/>
        <item x="107"/>
        <item x="69"/>
        <item x="141"/>
        <item x="179"/>
        <item x="166"/>
        <item x="37"/>
        <item x="206"/>
        <item x="117"/>
        <item x="162"/>
        <item x="208"/>
        <item x="71"/>
        <item x="178"/>
        <item x="82"/>
        <item x="203"/>
        <item x="196"/>
        <item x="10"/>
        <item x="163"/>
        <item x="0"/>
        <item x="96"/>
        <item x="153"/>
        <item x="137"/>
        <item x="76"/>
        <item x="171"/>
        <item x="147"/>
        <item x="185"/>
        <item x="113"/>
        <item x="190"/>
        <item x="165"/>
        <item x="119"/>
        <item x="204"/>
        <item x="174"/>
        <item x="193"/>
        <item x="126"/>
        <item x="124"/>
        <item x="183"/>
        <item x="202"/>
        <item x="24"/>
        <item x="197"/>
        <item x="6"/>
        <item x="156"/>
        <item x="60"/>
        <item x="90"/>
        <item x="142"/>
        <item x="209"/>
        <item x="191"/>
        <item x="182"/>
        <item x="140"/>
        <item x="30"/>
        <item x="186"/>
        <item x="198"/>
        <item x="99"/>
        <item x="184"/>
        <item x="33"/>
        <item x="67"/>
        <item x="158"/>
        <item x="106"/>
        <item x="132"/>
        <item x="134"/>
        <item x="61"/>
        <item x="92"/>
        <item x="78"/>
        <item x="201"/>
        <item x="55"/>
        <item x="167"/>
        <item x="42"/>
        <item x="83"/>
        <item x="108"/>
        <item x="177"/>
        <item x="149"/>
        <item x="64"/>
        <item x="199"/>
        <item x="46"/>
        <item x="157"/>
        <item x="152"/>
        <item x="12"/>
        <item x="54"/>
        <item x="114"/>
        <item x="21"/>
        <item x="168"/>
        <item x="41"/>
        <item t="default"/>
      </items>
    </pivotField>
    <pivotField compact="0" outline="0" showAll="0"/>
    <pivotField dataField="1" compact="0" outline="0" showAll="0">
      <items count="138">
        <item h="1" x="49"/>
        <item h="1" x="15"/>
        <item h="1" x="13"/>
        <item h="1" x="52"/>
        <item x="44"/>
        <item h="1" x="5"/>
        <item h="1" x="29"/>
        <item h="1" x="36"/>
        <item h="1" x="21"/>
        <item h="1" x="26"/>
        <item h="1" x="56"/>
        <item h="1" x="2"/>
        <item h="1" x="92"/>
        <item h="1" x="11"/>
        <item h="1" x="9"/>
        <item h="1" x="74"/>
        <item h="1" x="22"/>
        <item h="1" x="24"/>
        <item h="1" x="7"/>
        <item h="1" x="105"/>
        <item h="1" x="45"/>
        <item h="1" x="109"/>
        <item h="1" x="18"/>
        <item h="1" x="30"/>
        <item h="1" x="100"/>
        <item h="1" x="113"/>
        <item h="1" x="112"/>
        <item h="1" x="130"/>
        <item h="1" x="35"/>
        <item h="1" x="41"/>
        <item h="1" x="1"/>
        <item h="1" x="123"/>
        <item h="1" x="116"/>
        <item h="1" x="54"/>
        <item h="1" x="69"/>
        <item h="1" x="114"/>
        <item h="1" x="118"/>
        <item h="1" x="117"/>
        <item h="1" x="90"/>
        <item h="1" x="97"/>
        <item h="1" x="107"/>
        <item h="1" x="60"/>
        <item h="1" x="68"/>
        <item h="1" x="87"/>
        <item h="1" x="19"/>
        <item h="1" x="66"/>
        <item h="1" x="106"/>
        <item h="1" x="16"/>
        <item h="1" x="32"/>
        <item h="1" x="65"/>
        <item h="1" x="111"/>
        <item h="1" x="67"/>
        <item h="1" x="6"/>
        <item h="1" x="37"/>
        <item h="1" x="79"/>
        <item h="1" x="121"/>
        <item h="1" x="43"/>
        <item h="1" x="81"/>
        <item h="1" x="50"/>
        <item h="1" x="135"/>
        <item h="1" x="63"/>
        <item h="1" x="59"/>
        <item h="1" x="17"/>
        <item h="1" x="101"/>
        <item h="1" x="73"/>
        <item h="1" x="23"/>
        <item h="1" x="0"/>
        <item h="1" x="62"/>
        <item h="1" x="39"/>
        <item h="1" x="38"/>
        <item h="1" x="14"/>
        <item h="1" x="72"/>
        <item h="1" x="110"/>
        <item h="1" x="84"/>
        <item h="1" x="47"/>
        <item h="1" x="12"/>
        <item h="1" x="31"/>
        <item h="1" x="42"/>
        <item h="1" x="98"/>
        <item h="1" x="85"/>
        <item h="1" x="71"/>
        <item h="1" x="28"/>
        <item h="1" x="57"/>
        <item h="1" x="82"/>
        <item h="1" x="83"/>
        <item h="1" x="70"/>
        <item h="1" x="8"/>
        <item h="1" x="40"/>
        <item h="1" x="75"/>
        <item h="1" x="46"/>
        <item h="1" x="53"/>
        <item h="1" x="25"/>
        <item h="1" x="93"/>
        <item h="1" x="103"/>
        <item h="1" x="20"/>
        <item h="1" x="91"/>
        <item h="1" x="128"/>
        <item h="1" x="64"/>
        <item h="1" x="4"/>
        <item h="1" x="86"/>
        <item h="1" x="88"/>
        <item h="1" x="80"/>
        <item h="1" x="33"/>
        <item h="1" x="3"/>
        <item h="1" x="76"/>
        <item h="1" x="78"/>
        <item h="1" x="27"/>
        <item h="1" x="120"/>
        <item h="1" x="125"/>
        <item h="1" x="58"/>
        <item h="1" x="102"/>
        <item h="1" x="119"/>
        <item h="1" x="129"/>
        <item h="1" x="104"/>
        <item h="1" x="96"/>
        <item h="1" x="77"/>
        <item h="1" x="48"/>
        <item h="1" x="132"/>
        <item h="1" x="133"/>
        <item h="1" x="134"/>
        <item h="1" x="124"/>
        <item h="1" x="126"/>
        <item h="1" x="55"/>
        <item h="1" x="94"/>
        <item h="1" x="99"/>
        <item h="1" x="51"/>
        <item h="1" x="89"/>
        <item h="1" x="61"/>
        <item h="1" x="122"/>
        <item h="1" x="34"/>
        <item h="1" x="136"/>
        <item h="1" x="95"/>
        <item h="1" x="127"/>
        <item h="1" x="10"/>
        <item h="1" x="108"/>
        <item h="1" x="115"/>
        <item h="1" x="13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 v="46"/>
    </i>
    <i>
      <x v="115"/>
    </i>
    <i>
      <x v="157"/>
    </i>
    <i>
      <x v="21"/>
    </i>
    <i>
      <x v="168"/>
    </i>
    <i>
      <x v="4"/>
    </i>
    <i>
      <x v="84"/>
    </i>
    <i>
      <x v="20"/>
    </i>
    <i>
      <x v="145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treams" fld="4" baseField="0" baseItem="0"/>
    <dataField name="Sum of Billboard Rankings" fld="8" subtotal="average" baseField="0" baseItem="0"/>
    <dataField name="Average of On Spotify Charts" fld="7" subtotal="average" baseField="0" baseItem="0"/>
    <dataField name="Average of On Apple Charts" fld="10" subtotal="average" baseField="0" baseItem="0"/>
  </dataFields>
  <formats count="9">
    <format dxfId="30">
      <pivotArea outline="0" collapsedLevelsAreSubtotals="1" fieldPosition="0"/>
    </format>
    <format dxfId="31">
      <pivotArea outline="0" collapsedLevelsAreSubtotals="1" fieldPosition="0"/>
    </format>
    <format dxfId="32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3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5">
      <pivotArea dataOnly="0" labelOnly="1" outline="0" fieldPosition="0">
        <references count="1">
          <reference field="1" count="33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</reference>
        </references>
      </pivotArea>
    </format>
    <format dxfId="36">
      <pivotArea dataOnly="0" labelOnly="1" grandRow="1" outline="0" fieldPosition="0"/>
    </format>
    <format dxfId="37">
      <pivotArea outline="0" fieldPosition="0">
        <references count="1">
          <reference field="4294967294" count="1" selected="0">
            <x v="0"/>
          </reference>
        </references>
      </pivotArea>
    </format>
    <format dxfId="38">
      <pivotArea field="1" grandRow="1" outline="0" axis="axisRow" fieldPosition="0">
        <references count="1">
          <reference field="4294967294" count="1" selected="0">
            <x v="0"/>
          </reference>
        </references>
      </pivotArea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Dark21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0872D0-4C14-44A1-B1AC-DBA91D390D56}" name="PivotTable3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I4:N15" firstHeaderRow="0" firstDataRow="1" firstDataCol="1"/>
  <pivotFields count="28">
    <pivotField compact="0" outline="0" showAll="0"/>
    <pivotField compact="0" outline="0" showAll="0"/>
    <pivotField axis="axisRow" compact="0" outline="0" showAll="0" measureFilter="1" sortType="descending">
      <items count="49">
        <item x="42"/>
        <item x="32"/>
        <item x="2"/>
        <item x="4"/>
        <item x="8"/>
        <item x="16"/>
        <item x="39"/>
        <item x="23"/>
        <item x="44"/>
        <item x="10"/>
        <item x="34"/>
        <item x="19"/>
        <item x="24"/>
        <item x="40"/>
        <item x="13"/>
        <item x="1"/>
        <item x="35"/>
        <item x="47"/>
        <item x="30"/>
        <item x="27"/>
        <item x="36"/>
        <item x="37"/>
        <item x="3"/>
        <item x="0"/>
        <item x="46"/>
        <item x="22"/>
        <item x="20"/>
        <item x="38"/>
        <item x="31"/>
        <item x="17"/>
        <item x="11"/>
        <item x="14"/>
        <item x="33"/>
        <item x="26"/>
        <item x="7"/>
        <item x="15"/>
        <item x="6"/>
        <item x="41"/>
        <item x="43"/>
        <item x="9"/>
        <item x="12"/>
        <item x="28"/>
        <item x="5"/>
        <item x="21"/>
        <item x="25"/>
        <item x="45"/>
        <item x="29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numFmtId="164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1">
    <i>
      <x v="1"/>
    </i>
    <i>
      <x v="45"/>
    </i>
    <i>
      <x v="8"/>
    </i>
    <i>
      <x v="19"/>
    </i>
    <i>
      <x v="28"/>
    </i>
    <i>
      <x v="22"/>
    </i>
    <i>
      <x v="16"/>
    </i>
    <i>
      <x v="33"/>
    </i>
    <i>
      <x v="15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Streams" fld="4" subtotal="average" baseField="0" baseItem="0" numFmtId="164"/>
    <dataField name="Sum of In Spotify Playlists" fld="6" baseField="0" baseItem="0"/>
    <dataField name="Sum of In Apple Playlists" fld="9" baseField="0" baseItem="0"/>
    <dataField name="Sum of In Deezer Playlists" fld="11" baseField="0" baseItem="0"/>
    <dataField name="Sum of In YouTube Playlists" fld="13" baseField="0" baseItem="0"/>
  </dataFields>
  <formats count="3">
    <format dxfId="27">
      <pivotArea outline="0" collapsedLevelsAreSubtotals="1" fieldPosition="0"/>
    </format>
    <format dxfId="28">
      <pivotArea dataOnly="0" labelOnly="1" outline="0" fieldPosition="0">
        <references count="1">
          <reference field="2" count="0"/>
        </references>
      </pivotArea>
    </format>
    <format dxfId="29">
      <pivotArea dataOnly="0" labelOnly="1" grandRow="1" outline="0" fieldPosition="0"/>
    </format>
  </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Dark21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rtist" xr10:uid="{17A524AC-5C16-4C5F-8E8E-3185592ED79E}" sourceName="Artist">
  <pivotTables>
    <pivotTable tabId="2" name="PivotTable4"/>
  </pivotTables>
  <data>
    <tabular pivotCacheId="424398789">
      <items count="183">
        <i x="140" s="1"/>
        <i x="162" s="1"/>
        <i x="160" s="1"/>
        <i x="116" s="1"/>
        <i x="18" s="1"/>
        <i x="175" s="1"/>
        <i x="107" s="1"/>
        <i x="108" s="1"/>
        <i x="79" s="1"/>
        <i x="169" s="1"/>
        <i x="51" s="1"/>
        <i x="137" s="1"/>
        <i x="53" s="1"/>
        <i x="157" s="1"/>
        <i x="151" s="1"/>
        <i x="92" s="1"/>
        <i x="1" s="1"/>
        <i x="121" s="1"/>
        <i x="88" s="1"/>
        <i x="0" s="1"/>
        <i x="6" s="1"/>
        <i x="41" s="1"/>
        <i x="74" s="1"/>
        <i x="45" s="1"/>
        <i x="55" s="1"/>
        <i x="130" s="1"/>
        <i x="48" s="1"/>
        <i x="29" s="1"/>
        <i x="143" s="1"/>
        <i x="49" s="1"/>
        <i x="11" s="1"/>
        <i x="147" s="1"/>
        <i x="153" s="1"/>
        <i x="155" s="1"/>
        <i x="9" s="1"/>
        <i x="70" s="1"/>
        <i x="99" s="1"/>
        <i x="174" s="1"/>
        <i x="7" s="1"/>
        <i x="46" s="1"/>
        <i x="122" s="1"/>
        <i x="117" s="1"/>
        <i x="125" s="1"/>
        <i x="43" s="1"/>
        <i x="111" s="1"/>
        <i x="115" s="1"/>
        <i x="26" s="1"/>
        <i x="27" s="1"/>
        <i x="66" s="1"/>
        <i x="133" s="1"/>
        <i x="94" s="1"/>
        <i x="127" s="1"/>
        <i x="10" s="1"/>
        <i x="23" s="1"/>
        <i x="67" s="1"/>
        <i x="80" s="1"/>
        <i x="166" s="1"/>
        <i x="156" s="1"/>
        <i x="110" s="1"/>
        <i x="31" s="1"/>
        <i x="168" s="1"/>
        <i x="61" s="1"/>
        <i x="32" s="1"/>
        <i x="164" s="1"/>
        <i x="181" s="1"/>
        <i x="128" s="1"/>
        <i x="176" s="1"/>
        <i x="170" s="1"/>
        <i x="114" s="1"/>
        <i x="91" s="1"/>
        <i x="136" s="1"/>
        <i x="119" s="1"/>
        <i x="54" s="1"/>
        <i x="172" s="1"/>
        <i x="75" s="1"/>
        <i x="13" s="1"/>
        <i x="82" s="1"/>
        <i x="34" s="1"/>
        <i x="97" s="1"/>
        <i x="150" s="1"/>
        <i x="19" s="1"/>
        <i x="131" s="1"/>
        <i x="135" s="1"/>
        <i x="145" s="1"/>
        <i x="30" s="1"/>
        <i x="60" s="1"/>
        <i x="138" s="1"/>
        <i x="39" s="1"/>
        <i x="106" s="1"/>
        <i x="98" s="1"/>
        <i x="40" s="1"/>
        <i x="171" s="1"/>
        <i x="96" s="1"/>
        <i x="37" s="1"/>
        <i x="14" s="1"/>
        <i x="129" s="1"/>
        <i x="57" s="1"/>
        <i x="167" s="1"/>
        <i x="90" s="1"/>
        <i x="152" s="1"/>
        <i x="163" s="1"/>
        <i x="113" s="1"/>
        <i x="102" s="1"/>
        <i x="148" s="1"/>
        <i x="173" s="1"/>
        <i x="154" s="1"/>
        <i x="77" s="1"/>
        <i x="8" s="1"/>
        <i x="83" s="1"/>
        <i x="58" s="1"/>
        <i x="100" s="1"/>
        <i x="158" s="1"/>
        <i x="68" s="1"/>
        <i x="2" s="1"/>
        <i x="95" s="1"/>
        <i x="25" s="1"/>
        <i x="105" s="1"/>
        <i x="120" s="1"/>
        <i x="16" s="1"/>
        <i x="132" s="1"/>
        <i x="72" s="1"/>
        <i x="12" s="1"/>
        <i x="149" s="1"/>
        <i x="93" s="1"/>
        <i x="180" s="1"/>
        <i x="124" s="1"/>
        <i x="159" s="1"/>
        <i x="36" s="1"/>
        <i x="24" s="1"/>
        <i x="126" s="1"/>
        <i x="165" s="1"/>
        <i x="64" s="1"/>
        <i x="22" s="1"/>
        <i x="179" s="1"/>
        <i x="38" s="1"/>
        <i x="20" s="1"/>
        <i x="103" s="1"/>
        <i x="42" s="1"/>
        <i x="146" s="1"/>
        <i x="35" s="1"/>
        <i x="69" s="1"/>
        <i x="63" s="1"/>
        <i x="17" s="1"/>
        <i x="47" s="1"/>
        <i x="139" s="1"/>
        <i x="21" s="1"/>
        <i x="28" s="1"/>
        <i x="144" s="1"/>
        <i x="44" s="1"/>
        <i x="123" s="1"/>
        <i x="112" s="1"/>
        <i x="50" s="1"/>
        <i x="87" s="1"/>
        <i x="33" s="1"/>
        <i x="134" s="1"/>
        <i x="177" s="1"/>
        <i x="59" s="1"/>
        <i x="81" s="1"/>
        <i x="15" s="1"/>
        <i x="56" s="1"/>
        <i x="89" s="1"/>
        <i x="178" s="1"/>
        <i x="73" s="1"/>
        <i x="84" s="1"/>
        <i x="62" s="1"/>
        <i x="52" s="1"/>
        <i x="5" s="1"/>
        <i x="118" s="1"/>
        <i x="3" s="1"/>
        <i x="104" s="1"/>
        <i x="101" s="1"/>
        <i x="86" s="1"/>
        <i x="182" s="1"/>
        <i x="71" s="1"/>
        <i x="109" s="1"/>
        <i x="141" s="1"/>
        <i x="78" s="1"/>
        <i x="4" s="1"/>
        <i x="161" s="1"/>
        <i x="76" s="1"/>
        <i x="142" s="1"/>
        <i x="85" s="1"/>
        <i x="6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reams_Category" xr10:uid="{97980CB6-91C9-46FC-9097-BA4D7C78A2C2}" sourceName="Streams Category">
  <pivotTables>
    <pivotTable tabId="2" name="PivotTable2"/>
  </pivotTables>
  <data>
    <tabular pivotCacheId="424398789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re" xr10:uid="{687DDF03-B6CD-44F8-92A5-84F47F483F30}" sourceName="Genre">
  <pivotTables>
    <pivotTable tabId="2" name="PivotTable3"/>
  </pivotTables>
  <data>
    <tabular pivotCacheId="424398789">
      <items count="48">
        <i x="18" s="1"/>
        <i x="29" s="1"/>
        <i x="45" s="1"/>
        <i x="25" s="1"/>
        <i x="21" s="1"/>
        <i x="5" s="1"/>
        <i x="28" s="1"/>
        <i x="12" s="1"/>
        <i x="9" s="1"/>
        <i x="43" s="1"/>
        <i x="41" s="1"/>
        <i x="6" s="1"/>
        <i x="15" s="1"/>
        <i x="7" s="1"/>
        <i x="26" s="1"/>
        <i x="33" s="1"/>
        <i x="14" s="1"/>
        <i x="11" s="1"/>
        <i x="17" s="1"/>
        <i x="31" s="1"/>
        <i x="38" s="1"/>
        <i x="20" s="1"/>
        <i x="22" s="1"/>
        <i x="46" s="1"/>
        <i x="0" s="1"/>
        <i x="3" s="1"/>
        <i x="37" s="1"/>
        <i x="36" s="1"/>
        <i x="27" s="1"/>
        <i x="30" s="1"/>
        <i x="47" s="1"/>
        <i x="35" s="1"/>
        <i x="1" s="1"/>
        <i x="13" s="1"/>
        <i x="40" s="1"/>
        <i x="24" s="1"/>
        <i x="19" s="1"/>
        <i x="34" s="1"/>
        <i x="10" s="1"/>
        <i x="44" s="1"/>
        <i x="23" s="1"/>
        <i x="39" s="1"/>
        <i x="16" s="1"/>
        <i x="8" s="1"/>
        <i x="4" s="1"/>
        <i x="2" s="1"/>
        <i x="32" s="1"/>
        <i x="4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tist" xr10:uid="{956B2101-0358-421A-95F2-F8757B9A5535}" cache="Slicer_Artist" caption="Artist" startItem="173" rowHeight="228600"/>
  <slicer name="Streams Category" xr10:uid="{A6A10BD9-FF78-4AC2-9E40-1BD6ADE1DA56}" cache="Slicer_Streams_Category" caption="Streams Category" rowHeight="228600"/>
  <slicer name="Genre" xr10:uid="{EAE4CEBE-39C7-42A2-ADDE-F09B5D17EE9C}" cache="Slicer_Genre" caption="Genr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60A2E3-5082-4E3A-BA10-29D2C01FBCE3}" name="STREAMS_STATS" displayName="STREAMS_STATS" ref="A1:AB587" totalsRowShown="0">
  <autoFilter ref="A1:AB587" xr:uid="{B760A2E3-5082-4E3A-BA10-29D2C01FBCE3}"/>
  <tableColumns count="28">
    <tableColumn id="1" xr3:uid="{1D3B48FE-DC2B-4F85-9640-31AEA89CA212}" name="Song"/>
    <tableColumn id="2" xr3:uid="{14CF48EC-0658-4301-AF94-F26B0040FC5E}" name="Artist" dataDxfId="26"/>
    <tableColumn id="3" xr3:uid="{CCE82B8F-3DF4-4C2B-B970-9826970B8DC3}" name="Genre" dataDxfId="25"/>
    <tableColumn id="4" xr3:uid="{45A7BF08-1597-4A7E-B1D7-40827B906177}" name="Year" dataDxfId="24"/>
    <tableColumn id="5" xr3:uid="{3F6443B4-C432-4996-BF2F-C4CAC07BD404}" name="Streams" dataDxfId="23"/>
    <tableColumn id="32" xr3:uid="{F978FA7D-0925-4983-846F-504367D8EEB0}" name="Streams Category" dataDxfId="22">
      <calculatedColumnFormula array="1">_xlfn.IFS(STREAMS_STATS[[#This Row],[Streams]] &gt;= 1000000000, "1B+", STREAMS_STATS[[#This Row],[Streams]] &gt;= 500000000, "500M–1B", STREAMS_STATS[[#This Row],[Streams]] &gt;= 250000000, "250M–500M", TRUE, "Under 250M")</calculatedColumnFormula>
    </tableColumn>
    <tableColumn id="6" xr3:uid="{62E2373B-F220-43BC-8D6C-7E4B09832F11}" name="In Spotify Playlists" dataDxfId="21"/>
    <tableColumn id="7" xr3:uid="{C534C33C-DC6E-4EFD-AEF4-38052A496879}" name="On Spotify Charts" dataDxfId="20"/>
    <tableColumn id="8" xr3:uid="{2E750028-4F31-4157-BF82-F04E08D5E488}" name="Billboard Rankings" dataDxfId="19"/>
    <tableColumn id="9" xr3:uid="{3D08E2AE-C9EE-4E5D-B83D-8BD45A4F1914}" name="In Apple Playlists" dataDxfId="18"/>
    <tableColumn id="10" xr3:uid="{A084B5E4-0308-484E-965F-EA1FCBCB42F7}" name="On Apple Charts" dataDxfId="17"/>
    <tableColumn id="11" xr3:uid="{C9104A47-E81E-42C6-BA0E-47ED5134330C}" name="In Deezer Playlists" dataDxfId="16"/>
    <tableColumn id="12" xr3:uid="{C8A47F48-F113-47F9-BE6D-E0DA1821E829}" name="In Deezer Charts" dataDxfId="15"/>
    <tableColumn id="13" xr3:uid="{CB04BE4C-AF89-4861-B386-C0B2F08DA6DB}" name="In YouTube Playlists" dataDxfId="14"/>
    <tableColumn id="14" xr3:uid="{6FDD6D3D-31A3-4AFE-ABB7-9EE8F724C992}" name="On Shazam Charts" dataDxfId="13"/>
    <tableColumn id="27" xr3:uid="{392FC64E-8F6E-40A8-A841-E261AF89B06D}" name="Total Playlist Reach" dataDxfId="12">
      <calculatedColumnFormula>SUM(STREAMS_STATS[[#This Row],[In Spotify Playlists]],STREAMS_STATS[[#This Row],[In Apple Playlists]],STREAMS_STATS[[#This Row],[In Deezer Playlists]],STREAMS_STATS[[#This Row],[In YouTube Playlists]])</calculatedColumnFormula>
    </tableColumn>
    <tableColumn id="15" xr3:uid="{FAD38EFB-4B33-4AAC-B736-83FAEDF7F2B0}" name="Bpm" dataDxfId="11"/>
    <tableColumn id="16" xr3:uid="{F6DA9F2C-4E64-4F03-95C3-FCC85502EC17}" name="Decibel" dataDxfId="10"/>
    <tableColumn id="17" xr3:uid="{5D1AD28D-1543-4358-AC34-1268D0657E23}" name="Mode" dataDxfId="9"/>
    <tableColumn id="18" xr3:uid="{58CFB262-70A9-4B18-91AC-4FBB530A4551}" name="Energy" dataDxfId="8"/>
    <tableColumn id="19" xr3:uid="{496B2D2C-0E4F-4366-884F-D42B669C3C2D}" name="Danceability" dataDxfId="7"/>
    <tableColumn id="20" xr3:uid="{BD93ACA8-89F6-46AB-9453-7429EE1FF281}" name="Liveness" dataDxfId="6"/>
    <tableColumn id="21" xr3:uid="{2590B9C1-C8B4-463A-AB99-3607CAC4431A}" name="Valence" dataDxfId="5"/>
    <tableColumn id="22" xr3:uid="{A2F136C8-EE1C-4730-A43E-664DD05274CF}" name="Duration" dataDxfId="4"/>
    <tableColumn id="26" xr3:uid="{05313686-7EE7-4BAE-AB4B-782664881775}" name="Track Length(MIN)" dataDxfId="3">
      <calculatedColumnFormula>STREAMS_STATS[[#This Row],[Duration]]/60</calculatedColumnFormula>
    </tableColumn>
    <tableColumn id="23" xr3:uid="{DDFFBA43-F837-4E63-A1E4-091F37D2D1E1}" name="Acousticness" dataDxfId="2"/>
    <tableColumn id="24" xr3:uid="{08B94032-C196-46ED-977B-33FAD582DE56}" name="Speechiness" dataDxfId="1"/>
    <tableColumn id="25" xr3:uid="{C0DED33B-6A43-4979-AC1A-E8CCAD7E28FC}" name="Popularity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6514-925F-4780-AEB5-8F556CB97248}">
  <sheetPr>
    <tabColor theme="3" tint="-0.499984740745262"/>
  </sheetPr>
  <dimension ref="A3:N29"/>
  <sheetViews>
    <sheetView topLeftCell="E6" workbookViewId="0">
      <selection activeCell="J32" sqref="J32:K39"/>
    </sheetView>
  </sheetViews>
  <sheetFormatPr defaultRowHeight="15"/>
  <cols>
    <col min="1" max="1" width="20.140625" bestFit="1" customWidth="1"/>
    <col min="2" max="2" width="17.5703125" bestFit="1" customWidth="1"/>
    <col min="3" max="3" width="22.7109375" bestFit="1" customWidth="1"/>
    <col min="4" max="4" width="18.5703125" bestFit="1" customWidth="1"/>
    <col min="5" max="5" width="15.42578125" bestFit="1" customWidth="1"/>
    <col min="6" max="7" width="4.42578125" bestFit="1" customWidth="1"/>
    <col min="8" max="8" width="3.28515625" bestFit="1" customWidth="1"/>
    <col min="9" max="9" width="27.140625" bestFit="1" customWidth="1"/>
    <col min="10" max="10" width="18.7109375" bestFit="1" customWidth="1"/>
    <col min="11" max="11" width="24.42578125" bestFit="1" customWidth="1"/>
    <col min="12" max="12" width="23.42578125" bestFit="1" customWidth="1"/>
    <col min="13" max="13" width="24.42578125" bestFit="1" customWidth="1"/>
    <col min="14" max="14" width="26.140625" bestFit="1" customWidth="1"/>
    <col min="15" max="16" width="4.42578125" bestFit="1" customWidth="1"/>
    <col min="17" max="17" width="3.28515625" bestFit="1" customWidth="1"/>
    <col min="18" max="19" width="4.42578125" bestFit="1" customWidth="1"/>
    <col min="20" max="20" width="3.28515625" bestFit="1" customWidth="1"/>
    <col min="21" max="22" width="4.42578125" bestFit="1" customWidth="1"/>
    <col min="23" max="23" width="3.28515625" bestFit="1" customWidth="1"/>
    <col min="24" max="31" width="4.42578125" bestFit="1" customWidth="1"/>
    <col min="32" max="33" width="5.42578125" bestFit="1" customWidth="1"/>
    <col min="34" max="34" width="4.42578125" bestFit="1" customWidth="1"/>
    <col min="35" max="38" width="5.42578125" bestFit="1" customWidth="1"/>
    <col min="39" max="39" width="4.42578125" bestFit="1" customWidth="1"/>
    <col min="40" max="40" width="5.42578125" bestFit="1" customWidth="1"/>
    <col min="41" max="41" width="4.42578125" bestFit="1" customWidth="1"/>
    <col min="42" max="53" width="5.42578125" bestFit="1" customWidth="1"/>
    <col min="54" max="65" width="4.42578125" bestFit="1" customWidth="1"/>
    <col min="66" max="68" width="3.28515625" bestFit="1" customWidth="1"/>
    <col min="69" max="69" width="4.42578125" bestFit="1" customWidth="1"/>
    <col min="70" max="70" width="3.28515625" bestFit="1" customWidth="1"/>
    <col min="71" max="71" width="4.42578125" bestFit="1" customWidth="1"/>
    <col min="72" max="72" width="11.7109375" bestFit="1" customWidth="1"/>
  </cols>
  <sheetData>
    <row r="3" spans="1:14">
      <c r="A3" s="7" t="s">
        <v>0</v>
      </c>
      <c r="B3" t="s">
        <v>1</v>
      </c>
      <c r="C3" t="s">
        <v>2</v>
      </c>
      <c r="D3" t="s">
        <v>3</v>
      </c>
      <c r="E3" t="s">
        <v>4</v>
      </c>
    </row>
    <row r="4" spans="1:14">
      <c r="A4" s="1" t="s">
        <v>5</v>
      </c>
      <c r="B4" s="8">
        <v>65.812080536912745</v>
      </c>
      <c r="C4" s="8">
        <v>66.483221476510067</v>
      </c>
      <c r="D4" s="8">
        <v>53.006711409395976</v>
      </c>
      <c r="E4" s="8">
        <v>117.85234899328859</v>
      </c>
      <c r="I4" s="7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</row>
    <row r="5" spans="1:14">
      <c r="A5" s="1" t="s">
        <v>12</v>
      </c>
      <c r="B5" s="8">
        <v>72.665071770334933</v>
      </c>
      <c r="C5" s="8">
        <v>63.033492822966508</v>
      </c>
      <c r="D5" s="8">
        <v>52.004784688995215</v>
      </c>
      <c r="E5" s="8">
        <v>119.94736842105263</v>
      </c>
      <c r="I5" s="1" t="s">
        <v>13</v>
      </c>
      <c r="J5" s="3">
        <v>2144876076.5</v>
      </c>
      <c r="K5" s="6">
        <v>63962</v>
      </c>
      <c r="L5" s="6">
        <v>47595</v>
      </c>
      <c r="M5" s="6">
        <v>1892</v>
      </c>
      <c r="N5" s="6">
        <v>46912</v>
      </c>
    </row>
    <row r="6" spans="1:14">
      <c r="A6" s="1" t="s">
        <v>14</v>
      </c>
      <c r="B6" s="8">
        <v>72.966442953020135</v>
      </c>
      <c r="C6" s="8">
        <v>65.765100671140942</v>
      </c>
      <c r="D6" s="8">
        <v>53.328859060402685</v>
      </c>
      <c r="E6" s="8">
        <v>118.59060402684564</v>
      </c>
      <c r="I6" s="1" t="s">
        <v>15</v>
      </c>
      <c r="J6" s="3">
        <v>1897517891</v>
      </c>
      <c r="K6" s="6">
        <v>25653</v>
      </c>
      <c r="L6" s="6">
        <v>11399</v>
      </c>
      <c r="M6" s="6">
        <v>78</v>
      </c>
      <c r="N6" s="6">
        <v>12337</v>
      </c>
    </row>
    <row r="7" spans="1:14">
      <c r="A7" s="1" t="s">
        <v>16</v>
      </c>
      <c r="B7" s="8">
        <v>69.835443037974684</v>
      </c>
      <c r="C7" s="8">
        <v>62.354430379746837</v>
      </c>
      <c r="D7" s="8">
        <v>50.645569620253163</v>
      </c>
      <c r="E7" s="8">
        <v>118.27848101265823</v>
      </c>
      <c r="I7" s="1" t="s">
        <v>17</v>
      </c>
      <c r="J7" s="3">
        <v>1647990401</v>
      </c>
      <c r="K7" s="6">
        <v>20333</v>
      </c>
      <c r="L7" s="6">
        <v>22808</v>
      </c>
      <c r="M7" s="6">
        <v>80</v>
      </c>
      <c r="N7" s="6">
        <v>29903</v>
      </c>
    </row>
    <row r="8" spans="1:14">
      <c r="A8" t="s">
        <v>18</v>
      </c>
      <c r="B8" s="9">
        <v>70.617747440273035</v>
      </c>
      <c r="C8" s="9">
        <v>64.5136518771331</v>
      </c>
      <c r="D8" s="9">
        <v>52.412969283276453</v>
      </c>
      <c r="E8" s="9">
        <v>118.84470989761093</v>
      </c>
      <c r="I8" s="1" t="s">
        <v>19</v>
      </c>
      <c r="J8" s="3">
        <v>1540511788.25</v>
      </c>
      <c r="K8" s="6">
        <v>76749</v>
      </c>
      <c r="L8" s="6">
        <v>68114</v>
      </c>
      <c r="M8" s="6">
        <v>6008</v>
      </c>
      <c r="N8" s="6">
        <v>92779</v>
      </c>
    </row>
    <row r="9" spans="1:14">
      <c r="I9" s="1" t="s">
        <v>20</v>
      </c>
      <c r="J9" s="3">
        <v>1479115056</v>
      </c>
      <c r="K9" s="6">
        <v>17354</v>
      </c>
      <c r="L9" s="6">
        <v>6519</v>
      </c>
      <c r="M9" s="6">
        <v>64</v>
      </c>
      <c r="N9" s="6">
        <v>20636</v>
      </c>
    </row>
    <row r="10" spans="1:14">
      <c r="I10" s="1" t="s">
        <v>21</v>
      </c>
      <c r="J10" s="3">
        <v>1440757818</v>
      </c>
      <c r="K10" s="6">
        <v>15894</v>
      </c>
      <c r="L10" s="6">
        <v>19993</v>
      </c>
      <c r="M10" s="6">
        <v>2094</v>
      </c>
      <c r="N10" s="6">
        <v>17362</v>
      </c>
    </row>
    <row r="11" spans="1:14">
      <c r="I11" s="1" t="s">
        <v>22</v>
      </c>
      <c r="J11" s="3">
        <v>1401157856</v>
      </c>
      <c r="K11" s="6">
        <v>31076</v>
      </c>
      <c r="L11" s="6">
        <v>57424</v>
      </c>
      <c r="M11" s="6">
        <v>701</v>
      </c>
      <c r="N11" s="6">
        <v>47906</v>
      </c>
    </row>
    <row r="12" spans="1:14">
      <c r="I12" s="1" t="s">
        <v>23</v>
      </c>
      <c r="J12" s="3">
        <v>1355011438.2857144</v>
      </c>
      <c r="K12" s="6">
        <v>114033</v>
      </c>
      <c r="L12" s="6">
        <v>177751</v>
      </c>
      <c r="M12" s="6">
        <v>1648</v>
      </c>
      <c r="N12" s="6">
        <v>139223</v>
      </c>
    </row>
    <row r="13" spans="1:14">
      <c r="I13" s="1" t="s">
        <v>24</v>
      </c>
      <c r="J13" s="3">
        <v>1247601949.1538463</v>
      </c>
      <c r="K13" s="6">
        <v>192719</v>
      </c>
      <c r="L13" s="6">
        <v>164285</v>
      </c>
      <c r="M13" s="6">
        <v>8227</v>
      </c>
      <c r="N13" s="6">
        <v>311432</v>
      </c>
    </row>
    <row r="14" spans="1:14">
      <c r="I14" s="1" t="s">
        <v>25</v>
      </c>
      <c r="J14" s="3">
        <v>1193454124.118644</v>
      </c>
      <c r="K14" s="6">
        <v>862388</v>
      </c>
      <c r="L14" s="6">
        <v>1309668</v>
      </c>
      <c r="M14" s="6">
        <v>95995</v>
      </c>
      <c r="N14" s="6">
        <v>1181431</v>
      </c>
    </row>
    <row r="15" spans="1:14">
      <c r="I15" s="1" t="s">
        <v>18</v>
      </c>
      <c r="J15" s="3">
        <v>1272936207.8461537</v>
      </c>
      <c r="K15" s="6">
        <v>1420161</v>
      </c>
      <c r="L15" s="6">
        <v>1885556</v>
      </c>
      <c r="M15" s="6">
        <v>116787</v>
      </c>
      <c r="N15" s="6">
        <v>1899921</v>
      </c>
    </row>
    <row r="18" spans="1:5">
      <c r="A18" s="7" t="s">
        <v>26</v>
      </c>
      <c r="B18" t="s">
        <v>27</v>
      </c>
      <c r="C18" t="s">
        <v>28</v>
      </c>
      <c r="D18" t="s">
        <v>29</v>
      </c>
      <c r="E18" t="s">
        <v>30</v>
      </c>
    </row>
    <row r="19" spans="1:5">
      <c r="A19" s="1" t="s">
        <v>31</v>
      </c>
      <c r="B19" s="6">
        <v>16574703164</v>
      </c>
      <c r="C19" s="4">
        <v>68.545454545454547</v>
      </c>
      <c r="D19" s="4">
        <v>92.454545454545453</v>
      </c>
      <c r="E19" s="4">
        <v>66.63636363636364</v>
      </c>
    </row>
    <row r="20" spans="1:5">
      <c r="A20" s="1" t="s">
        <v>32</v>
      </c>
      <c r="B20" s="6">
        <v>15299104260</v>
      </c>
      <c r="C20" s="4">
        <v>79.86666666666666</v>
      </c>
      <c r="D20" s="4">
        <v>163</v>
      </c>
      <c r="E20" s="4">
        <v>50</v>
      </c>
    </row>
    <row r="21" spans="1:5">
      <c r="A21" s="1" t="s">
        <v>33</v>
      </c>
      <c r="B21" s="6">
        <v>12693709669</v>
      </c>
      <c r="C21" s="4">
        <v>27.333333333333332</v>
      </c>
      <c r="D21" s="4">
        <v>75.222222222222229</v>
      </c>
      <c r="E21" s="4">
        <v>27.333333333333332</v>
      </c>
    </row>
    <row r="22" spans="1:5">
      <c r="A22" s="1" t="s">
        <v>34</v>
      </c>
      <c r="B22" s="6">
        <v>12638455318</v>
      </c>
      <c r="C22" s="4">
        <v>31.7</v>
      </c>
      <c r="D22" s="4">
        <v>123.8</v>
      </c>
      <c r="E22" s="4">
        <v>38.4</v>
      </c>
    </row>
    <row r="23" spans="1:5">
      <c r="A23" s="1" t="s">
        <v>35</v>
      </c>
      <c r="B23" s="6">
        <v>12602574946</v>
      </c>
      <c r="C23" s="4">
        <v>46</v>
      </c>
      <c r="D23" s="4">
        <v>115.18181818181819</v>
      </c>
      <c r="E23" s="4">
        <v>46</v>
      </c>
    </row>
    <row r="24" spans="1:5">
      <c r="A24" s="1" t="s">
        <v>36</v>
      </c>
      <c r="B24" s="6">
        <v>11310810977</v>
      </c>
      <c r="C24" s="4">
        <v>92.555555555555557</v>
      </c>
      <c r="D24" s="4">
        <v>143.11111111111111</v>
      </c>
      <c r="E24" s="4">
        <v>35.111111111111114</v>
      </c>
    </row>
    <row r="25" spans="1:5">
      <c r="A25" s="1" t="s">
        <v>37</v>
      </c>
      <c r="B25" s="6">
        <v>11136323709</v>
      </c>
      <c r="C25" s="4">
        <v>67.857142857142861</v>
      </c>
      <c r="D25" s="4">
        <v>207</v>
      </c>
      <c r="E25" s="4">
        <v>33.214285714285715</v>
      </c>
    </row>
    <row r="26" spans="1:5">
      <c r="A26" s="1" t="s">
        <v>38</v>
      </c>
      <c r="B26" s="6">
        <v>10029811509</v>
      </c>
      <c r="C26" s="4">
        <v>80</v>
      </c>
      <c r="D26" s="4">
        <v>152.27272727272728</v>
      </c>
      <c r="E26" s="4">
        <v>61.81818181818182</v>
      </c>
    </row>
    <row r="27" spans="1:5">
      <c r="A27" s="1" t="s">
        <v>39</v>
      </c>
      <c r="B27" s="6">
        <v>9953327973</v>
      </c>
      <c r="C27" s="4">
        <v>104.13333333333334</v>
      </c>
      <c r="D27" s="4">
        <v>227.13333333333333</v>
      </c>
      <c r="E27" s="4">
        <v>51.733333333333334</v>
      </c>
    </row>
    <row r="28" spans="1:5">
      <c r="A28" s="1" t="s">
        <v>40</v>
      </c>
      <c r="B28" s="6">
        <v>9621563820</v>
      </c>
      <c r="C28" s="4">
        <v>47.888888888888886</v>
      </c>
      <c r="D28" s="4">
        <v>143.33333333333334</v>
      </c>
      <c r="E28" s="4">
        <v>55.777777777777779</v>
      </c>
    </row>
    <row r="29" spans="1:5">
      <c r="A29" s="1" t="s">
        <v>18</v>
      </c>
      <c r="B29" s="16">
        <v>121860385345</v>
      </c>
      <c r="C29" s="4">
        <v>67.34210526315789</v>
      </c>
      <c r="D29" s="4">
        <v>150.89473684210526</v>
      </c>
      <c r="E29" s="4">
        <v>47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CEDA-0DFF-4411-921E-935807629945}">
  <sheetPr>
    <tabColor theme="9" tint="-0.249977111117893"/>
  </sheetPr>
  <dimension ref="A1:AF600"/>
  <sheetViews>
    <sheetView workbookViewId="0">
      <selection activeCell="C14" sqref="C14"/>
    </sheetView>
  </sheetViews>
  <sheetFormatPr defaultRowHeight="15"/>
  <cols>
    <col min="1" max="1" width="91" bestFit="1" customWidth="1"/>
    <col min="2" max="2" width="25.28515625" bestFit="1" customWidth="1"/>
    <col min="3" max="3" width="27.140625" bestFit="1" customWidth="1"/>
    <col min="4" max="4" width="7.42578125" bestFit="1" customWidth="1"/>
    <col min="5" max="5" width="14.28515625" bestFit="1" customWidth="1"/>
    <col min="6" max="6" width="19.28515625" bestFit="1" customWidth="1"/>
    <col min="7" max="7" width="19.85546875" bestFit="1" customWidth="1"/>
    <col min="8" max="8" width="19.140625" bestFit="1" customWidth="1"/>
    <col min="9" max="9" width="20.28515625" bestFit="1" customWidth="1"/>
    <col min="10" max="10" width="18.7109375" bestFit="1" customWidth="1"/>
    <col min="11" max="11" width="18" bestFit="1" customWidth="1"/>
    <col min="12" max="12" width="19.85546875" bestFit="1" customWidth="1"/>
    <col min="13" max="13" width="18.140625" bestFit="1" customWidth="1"/>
    <col min="14" max="14" width="21.5703125" bestFit="1" customWidth="1"/>
    <col min="15" max="15" width="19.85546875" bestFit="1" customWidth="1"/>
    <col min="16" max="16" width="21" bestFit="1" customWidth="1"/>
    <col min="17" max="17" width="7.5703125" bestFit="1" customWidth="1"/>
    <col min="18" max="18" width="10" bestFit="1" customWidth="1"/>
    <col min="19" max="19" width="8.7109375" bestFit="1" customWidth="1"/>
    <col min="20" max="20" width="9.42578125" bestFit="1" customWidth="1"/>
    <col min="21" max="21" width="14.5703125" bestFit="1" customWidth="1"/>
    <col min="22" max="22" width="10.85546875" bestFit="1" customWidth="1"/>
    <col min="23" max="23" width="10.42578125" bestFit="1" customWidth="1"/>
    <col min="24" max="24" width="11.28515625" bestFit="1" customWidth="1"/>
    <col min="25" max="25" width="20.28515625" bestFit="1" customWidth="1"/>
    <col min="26" max="26" width="14.85546875" bestFit="1" customWidth="1"/>
    <col min="27" max="27" width="14.28515625" bestFit="1" customWidth="1"/>
    <col min="28" max="28" width="12.7109375" bestFit="1" customWidth="1"/>
    <col min="29" max="29" width="20.28515625" bestFit="1" customWidth="1"/>
    <col min="30" max="30" width="14.85546875" bestFit="1" customWidth="1"/>
    <col min="31" max="31" width="14.28515625" bestFit="1" customWidth="1"/>
    <col min="32" max="32" width="12.7109375" bestFit="1" customWidth="1"/>
  </cols>
  <sheetData>
    <row r="1" spans="1:28">
      <c r="A1" t="s">
        <v>41</v>
      </c>
      <c r="B1" t="s">
        <v>26</v>
      </c>
      <c r="C1" t="s">
        <v>6</v>
      </c>
      <c r="D1" t="s">
        <v>42</v>
      </c>
      <c r="E1" t="s">
        <v>43</v>
      </c>
      <c r="F1" t="s">
        <v>0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</row>
    <row r="2" spans="1:28">
      <c r="A2">
        <v>3</v>
      </c>
      <c r="B2" s="1" t="s">
        <v>66</v>
      </c>
      <c r="C2" s="1" t="s">
        <v>67</v>
      </c>
      <c r="D2" s="1">
        <v>2010</v>
      </c>
      <c r="E2" s="3">
        <v>339473453</v>
      </c>
      <c r="F2" s="3" t="str" cm="1">
        <f t="array" ref="F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" s="1">
        <v>2612</v>
      </c>
      <c r="H2" s="1">
        <v>258</v>
      </c>
      <c r="I2" s="1">
        <v>192</v>
      </c>
      <c r="J2" s="1">
        <v>32497</v>
      </c>
      <c r="K2" s="1">
        <v>69</v>
      </c>
      <c r="L2" s="1">
        <v>7444</v>
      </c>
      <c r="M2" s="1">
        <v>164</v>
      </c>
      <c r="N2" s="1">
        <v>5718</v>
      </c>
      <c r="O2" s="1">
        <v>127</v>
      </c>
      <c r="P2" s="2">
        <f>SUM(STREAMS_STATS[[#This Row],[In Spotify Playlists]],STREAMS_STATS[[#This Row],[In Apple Playlists]],STREAMS_STATS[[#This Row],[In Deezer Playlists]],STREAMS_STATS[[#This Row],[In YouTube Playlists]])</f>
        <v>48271</v>
      </c>
      <c r="Q2" s="1">
        <v>135</v>
      </c>
      <c r="R2" s="1">
        <v>-2</v>
      </c>
      <c r="S2" s="1" t="s">
        <v>68</v>
      </c>
      <c r="T2" s="1">
        <v>71</v>
      </c>
      <c r="U2" s="1">
        <v>70</v>
      </c>
      <c r="V2" s="1">
        <v>14</v>
      </c>
      <c r="W2" s="1">
        <v>79</v>
      </c>
      <c r="X2" s="1">
        <v>213</v>
      </c>
      <c r="Y2" s="5">
        <f>STREAMS_STATS[[#This Row],[Duration]]/60</f>
        <v>3.55</v>
      </c>
      <c r="Z2" s="1">
        <v>5</v>
      </c>
      <c r="AA2" s="1">
        <v>5</v>
      </c>
      <c r="AB2" s="1">
        <v>62</v>
      </c>
    </row>
    <row r="3" spans="1:28">
      <c r="A3">
        <v>43776</v>
      </c>
      <c r="B3" s="1" t="s">
        <v>69</v>
      </c>
      <c r="C3" s="1" t="s">
        <v>67</v>
      </c>
      <c r="D3" s="1">
        <v>2015</v>
      </c>
      <c r="E3" s="3">
        <v>665765558</v>
      </c>
      <c r="F3" s="3" t="str" cm="1">
        <f t="array" ref="F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" s="1">
        <v>5415</v>
      </c>
      <c r="H3" s="1">
        <v>396</v>
      </c>
      <c r="I3" s="1">
        <v>31</v>
      </c>
      <c r="J3" s="1">
        <v>29766</v>
      </c>
      <c r="K3" s="1">
        <v>31</v>
      </c>
      <c r="L3" s="1">
        <v>1</v>
      </c>
      <c r="M3" s="1">
        <v>34</v>
      </c>
      <c r="N3" s="1">
        <v>17576</v>
      </c>
      <c r="O3" s="1">
        <v>168</v>
      </c>
      <c r="P3" s="2">
        <f>SUM(STREAMS_STATS[[#This Row],[In Spotify Playlists]],STREAMS_STATS[[#This Row],[In Apple Playlists]],STREAMS_STATS[[#This Row],[In Deezer Playlists]],STREAMS_STATS[[#This Row],[In YouTube Playlists]])</f>
        <v>52758</v>
      </c>
      <c r="Q3" s="1">
        <v>136</v>
      </c>
      <c r="R3" s="1">
        <v>-5</v>
      </c>
      <c r="S3" s="1" t="s">
        <v>68</v>
      </c>
      <c r="T3" s="1">
        <v>71</v>
      </c>
      <c r="U3" s="1">
        <v>75</v>
      </c>
      <c r="V3" s="1">
        <v>13</v>
      </c>
      <c r="W3" s="1">
        <v>56</v>
      </c>
      <c r="X3" s="1">
        <v>214</v>
      </c>
      <c r="Y3" s="5">
        <f>STREAMS_STATS[[#This Row],[Duration]]/60</f>
        <v>3.5666666666666669</v>
      </c>
      <c r="Z3" s="1">
        <v>1</v>
      </c>
      <c r="AA3" s="1">
        <v>13</v>
      </c>
      <c r="AB3" s="1">
        <v>72</v>
      </c>
    </row>
    <row r="4" spans="1:28">
      <c r="A4" t="s">
        <v>70</v>
      </c>
      <c r="B4" s="1" t="s">
        <v>71</v>
      </c>
      <c r="C4" s="1" t="s">
        <v>67</v>
      </c>
      <c r="D4" s="1">
        <v>2013</v>
      </c>
      <c r="E4" s="3">
        <v>245400167</v>
      </c>
      <c r="F4" s="3" t="str" cm="1">
        <f t="array" ref="F4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" s="1">
        <v>1796</v>
      </c>
      <c r="H4" s="1">
        <v>317</v>
      </c>
      <c r="I4" s="1">
        <v>12</v>
      </c>
      <c r="J4" s="1">
        <v>37077</v>
      </c>
      <c r="K4" s="1">
        <v>12</v>
      </c>
      <c r="L4" s="1">
        <v>10</v>
      </c>
      <c r="M4" s="1">
        <v>33</v>
      </c>
      <c r="N4" s="1">
        <v>15160</v>
      </c>
      <c r="O4" s="1">
        <v>319</v>
      </c>
      <c r="P4" s="2">
        <f>SUM(STREAMS_STATS[[#This Row],[In Spotify Playlists]],STREAMS_STATS[[#This Row],[In Apple Playlists]],STREAMS_STATS[[#This Row],[In Deezer Playlists]],STREAMS_STATS[[#This Row],[In YouTube Playlists]])</f>
        <v>54043</v>
      </c>
      <c r="Q4" s="1">
        <v>107</v>
      </c>
      <c r="R4" s="1">
        <v>-5</v>
      </c>
      <c r="S4" s="1" t="s">
        <v>68</v>
      </c>
      <c r="T4" s="1">
        <v>76</v>
      </c>
      <c r="U4" s="1">
        <v>68</v>
      </c>
      <c r="V4" s="1">
        <v>31</v>
      </c>
      <c r="W4" s="1">
        <v>45</v>
      </c>
      <c r="X4" s="1">
        <v>200</v>
      </c>
      <c r="Y4" s="5">
        <f>STREAMS_STATS[[#This Row],[Duration]]/60</f>
        <v>3.3333333333333335</v>
      </c>
      <c r="Z4" s="1">
        <v>29</v>
      </c>
      <c r="AA4" s="1">
        <v>4</v>
      </c>
      <c r="AB4" s="1">
        <v>51</v>
      </c>
    </row>
    <row r="5" spans="1:28">
      <c r="A5" t="s">
        <v>72</v>
      </c>
      <c r="B5" s="1" t="s">
        <v>35</v>
      </c>
      <c r="C5" s="1" t="s">
        <v>24</v>
      </c>
      <c r="D5" s="1">
        <v>2014</v>
      </c>
      <c r="E5" s="3">
        <v>382199619</v>
      </c>
      <c r="F5" s="3" t="str" cm="1">
        <f t="array" ref="F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" s="1">
        <v>2988</v>
      </c>
      <c r="H5" s="1">
        <v>331</v>
      </c>
      <c r="I5" s="1">
        <v>109</v>
      </c>
      <c r="J5" s="1">
        <v>3762</v>
      </c>
      <c r="K5" s="1">
        <v>109</v>
      </c>
      <c r="L5" s="1">
        <v>305</v>
      </c>
      <c r="M5" s="1">
        <v>3</v>
      </c>
      <c r="N5" s="1">
        <v>38113</v>
      </c>
      <c r="O5" s="1">
        <v>149</v>
      </c>
      <c r="P5" s="2">
        <f>SUM(STREAMS_STATS[[#This Row],[In Spotify Playlists]],STREAMS_STATS[[#This Row],[In Apple Playlists]],STREAMS_STATS[[#This Row],[In Deezer Playlists]],STREAMS_STATS[[#This Row],[In YouTube Playlists]])</f>
        <v>45168</v>
      </c>
      <c r="Q5" s="1">
        <v>128</v>
      </c>
      <c r="R5" s="1">
        <v>-3</v>
      </c>
      <c r="S5" s="1" t="s">
        <v>68</v>
      </c>
      <c r="T5" s="1">
        <v>92</v>
      </c>
      <c r="U5" s="1">
        <v>79</v>
      </c>
      <c r="V5" s="1">
        <v>8</v>
      </c>
      <c r="W5" s="1">
        <v>66</v>
      </c>
      <c r="X5" s="1">
        <v>184</v>
      </c>
      <c r="Y5" s="5">
        <f>STREAMS_STATS[[#This Row],[Duration]]/60</f>
        <v>3.0666666666666669</v>
      </c>
      <c r="Z5" s="1">
        <v>1</v>
      </c>
      <c r="AA5" s="1">
        <v>25</v>
      </c>
      <c r="AB5" s="1">
        <v>65</v>
      </c>
    </row>
    <row r="6" spans="1:28">
      <c r="A6" t="s">
        <v>73</v>
      </c>
      <c r="B6" s="1" t="s">
        <v>74</v>
      </c>
      <c r="C6" s="1" t="s">
        <v>67</v>
      </c>
      <c r="D6" s="1">
        <v>2013</v>
      </c>
      <c r="E6" s="3">
        <v>473248298</v>
      </c>
      <c r="F6" s="3" t="str" cm="1">
        <f t="array" ref="F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" s="1">
        <v>3741</v>
      </c>
      <c r="H6" s="1">
        <v>444</v>
      </c>
      <c r="I6" s="1">
        <v>101</v>
      </c>
      <c r="J6" s="1">
        <v>38461</v>
      </c>
      <c r="K6" s="1">
        <v>101</v>
      </c>
      <c r="L6" s="1">
        <v>1397</v>
      </c>
      <c r="M6" s="1">
        <v>4</v>
      </c>
      <c r="N6" s="1">
        <v>23843</v>
      </c>
      <c r="O6" s="1">
        <v>320</v>
      </c>
      <c r="P6" s="2">
        <f>SUM(STREAMS_STATS[[#This Row],[In Spotify Playlists]],STREAMS_STATS[[#This Row],[In Apple Playlists]],STREAMS_STATS[[#This Row],[In Deezer Playlists]],STREAMS_STATS[[#This Row],[In YouTube Playlists]])</f>
        <v>67442</v>
      </c>
      <c r="Q6" s="1">
        <v>128</v>
      </c>
      <c r="R6" s="1">
        <v>-6</v>
      </c>
      <c r="S6" s="1" t="s">
        <v>75</v>
      </c>
      <c r="T6" s="1">
        <v>61</v>
      </c>
      <c r="U6" s="1">
        <v>80</v>
      </c>
      <c r="V6" s="1">
        <v>7</v>
      </c>
      <c r="W6" s="1">
        <v>40</v>
      </c>
      <c r="X6" s="1">
        <v>280</v>
      </c>
      <c r="Y6" s="5">
        <f>STREAMS_STATS[[#This Row],[Duration]]/60</f>
        <v>4.666666666666667</v>
      </c>
      <c r="Z6" s="1">
        <v>0</v>
      </c>
      <c r="AA6" s="1">
        <v>6</v>
      </c>
      <c r="AB6" s="1">
        <v>68</v>
      </c>
    </row>
    <row r="7" spans="1:28">
      <c r="A7" t="s">
        <v>76</v>
      </c>
      <c r="B7" s="1" t="s">
        <v>77</v>
      </c>
      <c r="C7" s="1" t="s">
        <v>25</v>
      </c>
      <c r="D7" s="1">
        <v>2018</v>
      </c>
      <c r="E7" s="3">
        <v>246127838</v>
      </c>
      <c r="F7" s="3" t="str" cm="1">
        <f t="array" ref="F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7" s="1">
        <v>1800</v>
      </c>
      <c r="H7" s="1">
        <v>274</v>
      </c>
      <c r="I7" s="1">
        <v>6</v>
      </c>
      <c r="J7" s="1">
        <v>5969</v>
      </c>
      <c r="K7" s="1">
        <v>6</v>
      </c>
      <c r="L7" s="1">
        <v>19</v>
      </c>
      <c r="M7" s="1">
        <v>46</v>
      </c>
      <c r="N7" s="1">
        <v>28523</v>
      </c>
      <c r="O7" s="1">
        <v>292</v>
      </c>
      <c r="P7" s="2">
        <f>SUM(STREAMS_STATS[[#This Row],[In Spotify Playlists]],STREAMS_STATS[[#This Row],[In Apple Playlists]],STREAMS_STATS[[#This Row],[In Deezer Playlists]],STREAMS_STATS[[#This Row],[In YouTube Playlists]])</f>
        <v>36311</v>
      </c>
      <c r="Q7" s="1">
        <v>160</v>
      </c>
      <c r="R7" s="1">
        <v>-5</v>
      </c>
      <c r="S7" s="1" t="s">
        <v>68</v>
      </c>
      <c r="T7" s="1">
        <v>84</v>
      </c>
      <c r="U7" s="1">
        <v>58</v>
      </c>
      <c r="V7" s="1">
        <v>10</v>
      </c>
      <c r="W7" s="1">
        <v>50</v>
      </c>
      <c r="X7" s="1">
        <v>190</v>
      </c>
      <c r="Y7" s="5">
        <f>STREAMS_STATS[[#This Row],[Duration]]/60</f>
        <v>3.1666666666666665</v>
      </c>
      <c r="Z7" s="1">
        <v>13</v>
      </c>
      <c r="AA7" s="1">
        <v>22</v>
      </c>
      <c r="AB7" s="1">
        <v>85</v>
      </c>
    </row>
    <row r="8" spans="1:28">
      <c r="A8" t="s">
        <v>78</v>
      </c>
      <c r="B8" s="1" t="s">
        <v>69</v>
      </c>
      <c r="C8" s="1" t="s">
        <v>67</v>
      </c>
      <c r="D8" s="1">
        <v>2011</v>
      </c>
      <c r="E8" s="3">
        <v>311482393</v>
      </c>
      <c r="F8" s="3" t="str" cm="1">
        <f t="array" ref="F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8" s="1">
        <v>2442</v>
      </c>
      <c r="H8" s="1">
        <v>326</v>
      </c>
      <c r="I8" s="1">
        <v>283</v>
      </c>
      <c r="J8" s="1">
        <v>2868</v>
      </c>
      <c r="K8" s="1">
        <v>55</v>
      </c>
      <c r="L8" s="1">
        <v>5758</v>
      </c>
      <c r="M8" s="1">
        <v>191</v>
      </c>
      <c r="N8" s="1">
        <v>11754</v>
      </c>
      <c r="O8" s="1">
        <v>339</v>
      </c>
      <c r="P8" s="2">
        <f>SUM(STREAMS_STATS[[#This Row],[In Spotify Playlists]],STREAMS_STATS[[#This Row],[In Apple Playlists]],STREAMS_STATS[[#This Row],[In Deezer Playlists]],STREAMS_STATS[[#This Row],[In YouTube Playlists]])</f>
        <v>22822</v>
      </c>
      <c r="Q8" s="1">
        <v>63</v>
      </c>
      <c r="R8" s="1">
        <v>-7</v>
      </c>
      <c r="S8" s="1" t="s">
        <v>75</v>
      </c>
      <c r="T8" s="1">
        <v>38</v>
      </c>
      <c r="U8" s="1">
        <v>30</v>
      </c>
      <c r="V8" s="1">
        <v>7</v>
      </c>
      <c r="W8" s="1">
        <v>26</v>
      </c>
      <c r="X8" s="1">
        <v>274</v>
      </c>
      <c r="Y8" s="5">
        <f>STREAMS_STATS[[#This Row],[Duration]]/60</f>
        <v>4.5666666666666664</v>
      </c>
      <c r="Z8" s="1">
        <v>38</v>
      </c>
      <c r="AA8" s="1">
        <v>3</v>
      </c>
      <c r="AB8" s="1">
        <v>60</v>
      </c>
    </row>
    <row r="9" spans="1:28">
      <c r="A9" t="s">
        <v>79</v>
      </c>
      <c r="B9" s="1" t="s">
        <v>38</v>
      </c>
      <c r="C9" s="1" t="s">
        <v>25</v>
      </c>
      <c r="D9" s="1">
        <v>2017</v>
      </c>
      <c r="E9" s="3">
        <v>496311364</v>
      </c>
      <c r="F9" s="3" t="str" cm="1">
        <f t="array" ref="F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9" s="1">
        <v>3983</v>
      </c>
      <c r="H9" s="1">
        <v>421</v>
      </c>
      <c r="I9" s="1">
        <v>12</v>
      </c>
      <c r="J9" s="1">
        <v>31539</v>
      </c>
      <c r="K9" s="1">
        <v>12</v>
      </c>
      <c r="L9" s="1">
        <v>51</v>
      </c>
      <c r="M9" s="1">
        <v>1</v>
      </c>
      <c r="N9" s="1">
        <v>8566</v>
      </c>
      <c r="O9" s="1">
        <v>58</v>
      </c>
      <c r="P9" s="2">
        <f>SUM(STREAMS_STATS[[#This Row],[In Spotify Playlists]],STREAMS_STATS[[#This Row],[In Apple Playlists]],STREAMS_STATS[[#This Row],[In Deezer Playlists]],STREAMS_STATS[[#This Row],[In YouTube Playlists]])</f>
        <v>44139</v>
      </c>
      <c r="Q9" s="1">
        <v>107</v>
      </c>
      <c r="R9" s="1">
        <v>-4</v>
      </c>
      <c r="S9" s="1" t="s">
        <v>68</v>
      </c>
      <c r="T9" s="1">
        <v>80</v>
      </c>
      <c r="U9" s="1">
        <v>82</v>
      </c>
      <c r="V9" s="1">
        <v>15</v>
      </c>
      <c r="W9" s="1">
        <v>63</v>
      </c>
      <c r="X9" s="1">
        <v>226</v>
      </c>
      <c r="Y9" s="5">
        <f>STREAMS_STATS[[#This Row],[Duration]]/60</f>
        <v>3.7666666666666666</v>
      </c>
      <c r="Z9" s="1">
        <v>3</v>
      </c>
      <c r="AA9" s="1">
        <v>8</v>
      </c>
      <c r="AB9" s="1">
        <v>85</v>
      </c>
    </row>
    <row r="10" spans="1:28">
      <c r="A10" t="s">
        <v>80</v>
      </c>
      <c r="B10" s="1" t="s">
        <v>81</v>
      </c>
      <c r="C10" s="1" t="s">
        <v>67</v>
      </c>
      <c r="D10" s="1">
        <v>2018</v>
      </c>
      <c r="E10" s="3">
        <v>367814306</v>
      </c>
      <c r="F10" s="3" t="str" cm="1">
        <f t="array" ref="F1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0" s="1">
        <v>2915</v>
      </c>
      <c r="H10" s="1">
        <v>197</v>
      </c>
      <c r="I10" s="1">
        <v>19</v>
      </c>
      <c r="J10" s="1">
        <v>34663</v>
      </c>
      <c r="K10" s="1">
        <v>19</v>
      </c>
      <c r="L10" s="1">
        <v>318</v>
      </c>
      <c r="M10" s="1">
        <v>29</v>
      </c>
      <c r="N10" s="1">
        <v>18886</v>
      </c>
      <c r="O10" s="1">
        <v>200</v>
      </c>
      <c r="P10" s="2">
        <f>SUM(STREAMS_STATS[[#This Row],[In Spotify Playlists]],STREAMS_STATS[[#This Row],[In Apple Playlists]],STREAMS_STATS[[#This Row],[In Deezer Playlists]],STREAMS_STATS[[#This Row],[In YouTube Playlists]])</f>
        <v>56782</v>
      </c>
      <c r="Q10" s="1">
        <v>145</v>
      </c>
      <c r="R10" s="1">
        <v>-7</v>
      </c>
      <c r="S10" s="1" t="s">
        <v>75</v>
      </c>
      <c r="T10" s="1">
        <v>61</v>
      </c>
      <c r="U10" s="1">
        <v>53</v>
      </c>
      <c r="V10" s="1">
        <v>23</v>
      </c>
      <c r="W10" s="1">
        <v>53</v>
      </c>
      <c r="X10" s="1">
        <v>195</v>
      </c>
      <c r="Y10" s="5">
        <f>STREAMS_STATS[[#This Row],[Duration]]/60</f>
        <v>3.25</v>
      </c>
      <c r="Z10" s="1">
        <v>23</v>
      </c>
      <c r="AA10" s="1">
        <v>6</v>
      </c>
      <c r="AB10" s="1">
        <v>65</v>
      </c>
    </row>
    <row r="11" spans="1:28">
      <c r="A11" t="s">
        <v>82</v>
      </c>
      <c r="B11" s="1" t="s">
        <v>83</v>
      </c>
      <c r="C11" s="1" t="s">
        <v>21</v>
      </c>
      <c r="D11" s="1">
        <v>2016</v>
      </c>
      <c r="E11" s="3">
        <v>1440757818</v>
      </c>
      <c r="F11" s="3" t="str" cm="1">
        <f t="array" ref="F11">_xlfn.IFS(STREAMS_STATS[[#This Row],[Streams]] &gt;= 1000000000, "1B+", STREAMS_STATS[[#This Row],[Streams]] &gt;= 500000000, "500M–1B", STREAMS_STATS[[#This Row],[Streams]] &gt;= 250000000, "250M–500M", TRUE, "Under 250M")</f>
        <v>1B+</v>
      </c>
      <c r="G11" s="1">
        <v>15894</v>
      </c>
      <c r="H11" s="1">
        <v>27</v>
      </c>
      <c r="I11" s="1">
        <v>38</v>
      </c>
      <c r="J11" s="1">
        <v>19993</v>
      </c>
      <c r="K11" s="1">
        <v>89</v>
      </c>
      <c r="L11" s="2">
        <v>2094</v>
      </c>
      <c r="M11" s="1">
        <v>13</v>
      </c>
      <c r="N11" s="1">
        <v>17362</v>
      </c>
      <c r="O11" s="1">
        <v>245</v>
      </c>
      <c r="P11" s="2">
        <f>SUM(STREAMS_STATS[[#This Row],[In Spotify Playlists]],STREAMS_STATS[[#This Row],[In Apple Playlists]],STREAMS_STATS[[#This Row],[In Deezer Playlists]],STREAMS_STATS[[#This Row],[In YouTube Playlists]])</f>
        <v>55343</v>
      </c>
      <c r="Q11" s="1">
        <v>120</v>
      </c>
      <c r="R11" s="1">
        <v>-6</v>
      </c>
      <c r="S11" s="1" t="s">
        <v>75</v>
      </c>
      <c r="T11" s="1">
        <v>47</v>
      </c>
      <c r="U11" s="1">
        <v>77</v>
      </c>
      <c r="V11" s="1">
        <v>39</v>
      </c>
      <c r="W11" s="1">
        <v>34</v>
      </c>
      <c r="X11" s="1">
        <v>237</v>
      </c>
      <c r="Y11" s="5">
        <f>STREAMS_STATS[[#This Row],[Duration]]/60</f>
        <v>3.95</v>
      </c>
      <c r="Z11" s="1">
        <v>29</v>
      </c>
      <c r="AA11" s="1">
        <v>5</v>
      </c>
      <c r="AB11" s="1">
        <v>80</v>
      </c>
    </row>
    <row r="12" spans="1:28">
      <c r="A12" t="s">
        <v>84</v>
      </c>
      <c r="B12" s="1" t="s">
        <v>85</v>
      </c>
      <c r="C12" s="1" t="s">
        <v>86</v>
      </c>
      <c r="D12" s="1">
        <v>2017</v>
      </c>
      <c r="E12" s="3">
        <v>221752937</v>
      </c>
      <c r="F12" s="3" t="str" cm="1">
        <f t="array" ref="F1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2" s="1">
        <v>1529</v>
      </c>
      <c r="H12" s="1">
        <v>344</v>
      </c>
      <c r="I12" s="1">
        <v>15</v>
      </c>
      <c r="J12" s="1">
        <v>10611</v>
      </c>
      <c r="K12" s="1">
        <v>15</v>
      </c>
      <c r="L12" s="1">
        <v>116</v>
      </c>
      <c r="M12" s="1">
        <v>24</v>
      </c>
      <c r="N12" s="1">
        <v>16467</v>
      </c>
      <c r="O12" s="1">
        <v>134</v>
      </c>
      <c r="P12" s="2">
        <f>SUM(STREAMS_STATS[[#This Row],[In Spotify Playlists]],STREAMS_STATS[[#This Row],[In Apple Playlists]],STREAMS_STATS[[#This Row],[In Deezer Playlists]],STREAMS_STATS[[#This Row],[In YouTube Playlists]])</f>
        <v>28723</v>
      </c>
      <c r="Q12" s="1">
        <v>148</v>
      </c>
      <c r="R12" s="1">
        <v>-5</v>
      </c>
      <c r="S12" s="1" t="s">
        <v>75</v>
      </c>
      <c r="T12" s="1">
        <v>88</v>
      </c>
      <c r="U12" s="1">
        <v>43</v>
      </c>
      <c r="V12" s="1">
        <v>21</v>
      </c>
      <c r="W12" s="1">
        <v>25</v>
      </c>
      <c r="X12" s="1">
        <v>282</v>
      </c>
      <c r="Y12" s="5">
        <f>STREAMS_STATS[[#This Row],[Duration]]/60</f>
        <v>4.7</v>
      </c>
      <c r="Z12" s="1">
        <v>0</v>
      </c>
      <c r="AA12" s="1">
        <v>4</v>
      </c>
      <c r="AB12" s="1">
        <v>41</v>
      </c>
    </row>
    <row r="13" spans="1:28">
      <c r="A13" t="s">
        <v>87</v>
      </c>
      <c r="B13" s="1" t="s">
        <v>88</v>
      </c>
      <c r="C13" s="1" t="s">
        <v>67</v>
      </c>
      <c r="D13" s="1">
        <v>2014</v>
      </c>
      <c r="E13" s="3">
        <v>383550148</v>
      </c>
      <c r="F13" s="3" t="str" cm="1">
        <f t="array" ref="F1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3" s="1">
        <v>2995</v>
      </c>
      <c r="H13" s="1">
        <v>429</v>
      </c>
      <c r="I13" s="1">
        <v>188</v>
      </c>
      <c r="J13" s="1">
        <v>12055</v>
      </c>
      <c r="K13" s="1">
        <v>188</v>
      </c>
      <c r="L13" s="1">
        <v>20</v>
      </c>
      <c r="M13" s="1">
        <v>28</v>
      </c>
      <c r="N13" s="1">
        <v>38655</v>
      </c>
      <c r="O13" s="1">
        <v>306</v>
      </c>
      <c r="P13" s="2">
        <f>SUM(STREAMS_STATS[[#This Row],[In Spotify Playlists]],STREAMS_STATS[[#This Row],[In Apple Playlists]],STREAMS_STATS[[#This Row],[In Deezer Playlists]],STREAMS_STATS[[#This Row],[In YouTube Playlists]])</f>
        <v>53725</v>
      </c>
      <c r="Q13" s="1">
        <v>130</v>
      </c>
      <c r="R13" s="1">
        <v>-6</v>
      </c>
      <c r="S13" s="1" t="s">
        <v>68</v>
      </c>
      <c r="T13" s="1">
        <v>62</v>
      </c>
      <c r="U13" s="1">
        <v>76</v>
      </c>
      <c r="V13" s="1">
        <v>9</v>
      </c>
      <c r="W13" s="1">
        <v>52</v>
      </c>
      <c r="X13" s="1">
        <v>241</v>
      </c>
      <c r="Y13" s="5">
        <f>STREAMS_STATS[[#This Row],[Duration]]/60</f>
        <v>4.0166666666666666</v>
      </c>
      <c r="Z13" s="1">
        <v>1</v>
      </c>
      <c r="AA13" s="1">
        <v>18</v>
      </c>
      <c r="AB13" s="1">
        <v>65</v>
      </c>
    </row>
    <row r="14" spans="1:28">
      <c r="A14" t="s">
        <v>89</v>
      </c>
      <c r="B14" s="1" t="s">
        <v>85</v>
      </c>
      <c r="C14" s="1" t="s">
        <v>86</v>
      </c>
      <c r="D14" s="1">
        <v>2014</v>
      </c>
      <c r="E14" s="3">
        <v>307370144</v>
      </c>
      <c r="F14" s="3" t="str" cm="1">
        <f t="array" ref="F1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4" s="1">
        <v>2402</v>
      </c>
      <c r="H14" s="1">
        <v>362</v>
      </c>
      <c r="I14" s="1">
        <v>14</v>
      </c>
      <c r="J14" s="1">
        <v>26502</v>
      </c>
      <c r="K14" s="1">
        <v>14</v>
      </c>
      <c r="L14" s="1">
        <v>24</v>
      </c>
      <c r="M14" s="1">
        <v>21</v>
      </c>
      <c r="N14" s="1">
        <v>7486</v>
      </c>
      <c r="O14" s="1">
        <v>397</v>
      </c>
      <c r="P14" s="2">
        <f>SUM(STREAMS_STATS[[#This Row],[In Spotify Playlists]],STREAMS_STATS[[#This Row],[In Apple Playlists]],STREAMS_STATS[[#This Row],[In Deezer Playlists]],STREAMS_STATS[[#This Row],[In YouTube Playlists]])</f>
        <v>36414</v>
      </c>
      <c r="Q14" s="1">
        <v>125</v>
      </c>
      <c r="R14" s="1">
        <v>-6</v>
      </c>
      <c r="S14" s="1" t="s">
        <v>75</v>
      </c>
      <c r="T14" s="1">
        <v>68</v>
      </c>
      <c r="U14" s="1">
        <v>55</v>
      </c>
      <c r="V14" s="1">
        <v>21</v>
      </c>
      <c r="W14" s="1">
        <v>16</v>
      </c>
      <c r="X14" s="1">
        <v>268</v>
      </c>
      <c r="Y14" s="5">
        <f>STREAMS_STATS[[#This Row],[Duration]]/60</f>
        <v>4.4666666666666668</v>
      </c>
      <c r="Z14" s="1">
        <v>1</v>
      </c>
      <c r="AA14" s="1">
        <v>3</v>
      </c>
      <c r="AB14" s="1">
        <v>60</v>
      </c>
    </row>
    <row r="15" spans="1:28">
      <c r="A15" t="s">
        <v>90</v>
      </c>
      <c r="B15" s="1" t="s">
        <v>91</v>
      </c>
      <c r="C15" s="1" t="s">
        <v>67</v>
      </c>
      <c r="D15" s="1">
        <v>2011</v>
      </c>
      <c r="E15" s="3">
        <v>1690192927</v>
      </c>
      <c r="F15" s="3" t="str" cm="1">
        <f t="array" ref="F15">_xlfn.IFS(STREAMS_STATS[[#This Row],[Streams]] &gt;= 1000000000, "1B+", STREAMS_STATS[[#This Row],[Streams]] &gt;= 500000000, "500M–1B", STREAMS_STATS[[#This Row],[Streams]] &gt;= 250000000, "250M–500M", TRUE, "Under 250M")</f>
        <v>1B+</v>
      </c>
      <c r="G15" s="1">
        <v>21097</v>
      </c>
      <c r="H15" s="1">
        <v>21</v>
      </c>
      <c r="I15" s="1">
        <v>442</v>
      </c>
      <c r="J15" s="1">
        <v>20617</v>
      </c>
      <c r="K15" s="1">
        <v>78</v>
      </c>
      <c r="L15" s="1">
        <v>3064</v>
      </c>
      <c r="M15" s="1">
        <v>109</v>
      </c>
      <c r="N15" s="1">
        <v>14577</v>
      </c>
      <c r="O15" s="1">
        <v>21</v>
      </c>
      <c r="P15" s="2">
        <f>SUM(STREAMS_STATS[[#This Row],[In Spotify Playlists]],STREAMS_STATS[[#This Row],[In Apple Playlists]],STREAMS_STATS[[#This Row],[In Deezer Playlists]],STREAMS_STATS[[#This Row],[In YouTube Playlists]])</f>
        <v>59355</v>
      </c>
      <c r="Q15" s="1">
        <v>139</v>
      </c>
      <c r="R15" s="1">
        <v>-7</v>
      </c>
      <c r="S15" s="1" t="s">
        <v>75</v>
      </c>
      <c r="T15" s="1">
        <v>41</v>
      </c>
      <c r="U15" s="1">
        <v>42</v>
      </c>
      <c r="V15" s="1">
        <v>11</v>
      </c>
      <c r="W15" s="1">
        <v>16</v>
      </c>
      <c r="X15" s="1">
        <v>285</v>
      </c>
      <c r="Y15" s="5">
        <f>STREAMS_STATS[[#This Row],[Duration]]/60</f>
        <v>4.75</v>
      </c>
      <c r="Z15" s="1">
        <v>31</v>
      </c>
      <c r="AA15" s="1">
        <v>3</v>
      </c>
      <c r="AB15" s="1">
        <v>81</v>
      </c>
    </row>
    <row r="16" spans="1:28">
      <c r="A16" t="s">
        <v>92</v>
      </c>
      <c r="B16" s="1" t="s">
        <v>93</v>
      </c>
      <c r="C16" s="1" t="s">
        <v>67</v>
      </c>
      <c r="D16" s="1">
        <v>2014</v>
      </c>
      <c r="E16" s="3">
        <v>672656250</v>
      </c>
      <c r="F16" s="3" t="str" cm="1">
        <f t="array" ref="F1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6" s="1">
        <v>5481</v>
      </c>
      <c r="H16" s="1">
        <v>308</v>
      </c>
      <c r="I16" s="1">
        <v>3</v>
      </c>
      <c r="J16" s="1">
        <v>18752</v>
      </c>
      <c r="K16" s="1">
        <v>3</v>
      </c>
      <c r="L16" s="1">
        <v>89</v>
      </c>
      <c r="M16" s="1">
        <v>49</v>
      </c>
      <c r="N16" s="1">
        <v>9604</v>
      </c>
      <c r="O16" s="1">
        <v>80</v>
      </c>
      <c r="P16" s="2">
        <f>SUM(STREAMS_STATS[[#This Row],[In Spotify Playlists]],STREAMS_STATS[[#This Row],[In Apple Playlists]],STREAMS_STATS[[#This Row],[In Deezer Playlists]],STREAMS_STATS[[#This Row],[In YouTube Playlists]])</f>
        <v>33926</v>
      </c>
      <c r="Q16" s="1">
        <v>120</v>
      </c>
      <c r="R16" s="1">
        <v>-5</v>
      </c>
      <c r="S16" s="1" t="s">
        <v>68</v>
      </c>
      <c r="T16" s="1">
        <v>66</v>
      </c>
      <c r="U16" s="1">
        <v>58</v>
      </c>
      <c r="V16" s="1">
        <v>11</v>
      </c>
      <c r="W16" s="1">
        <v>20</v>
      </c>
      <c r="X16" s="1">
        <v>279</v>
      </c>
      <c r="Y16" s="5">
        <f>STREAMS_STATS[[#This Row],[Duration]]/60</f>
        <v>4.6500000000000004</v>
      </c>
      <c r="Z16" s="1">
        <v>11</v>
      </c>
      <c r="AA16" s="1">
        <v>3</v>
      </c>
      <c r="AB16" s="1">
        <v>72</v>
      </c>
    </row>
    <row r="17" spans="1:28">
      <c r="A17" t="s">
        <v>94</v>
      </c>
      <c r="B17" s="1" t="s">
        <v>95</v>
      </c>
      <c r="C17" s="1" t="s">
        <v>67</v>
      </c>
      <c r="D17" s="1">
        <v>2016</v>
      </c>
      <c r="E17" s="3">
        <v>652704649</v>
      </c>
      <c r="F17" s="3" t="str" cm="1">
        <f t="array" ref="F1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7" s="1">
        <v>5328</v>
      </c>
      <c r="H17" s="1">
        <v>180</v>
      </c>
      <c r="I17" s="1">
        <v>73</v>
      </c>
      <c r="J17" s="1">
        <v>17392</v>
      </c>
      <c r="K17" s="1">
        <v>73</v>
      </c>
      <c r="L17" s="1">
        <v>633</v>
      </c>
      <c r="M17" s="1">
        <v>3</v>
      </c>
      <c r="N17" s="1">
        <v>10883</v>
      </c>
      <c r="O17" s="1">
        <v>124</v>
      </c>
      <c r="P17" s="2">
        <f>SUM(STREAMS_STATS[[#This Row],[In Spotify Playlists]],STREAMS_STATS[[#This Row],[In Apple Playlists]],STREAMS_STATS[[#This Row],[In Deezer Playlists]],STREAMS_STATS[[#This Row],[In YouTube Playlists]])</f>
        <v>34236</v>
      </c>
      <c r="Q17" s="1">
        <v>120</v>
      </c>
      <c r="R17" s="1">
        <v>-6</v>
      </c>
      <c r="S17" s="1" t="s">
        <v>75</v>
      </c>
      <c r="T17" s="1">
        <v>68</v>
      </c>
      <c r="U17" s="1">
        <v>76</v>
      </c>
      <c r="V17" s="1">
        <v>7</v>
      </c>
      <c r="W17" s="1">
        <v>82</v>
      </c>
      <c r="X17" s="1">
        <v>218</v>
      </c>
      <c r="Y17" s="5">
        <f>STREAMS_STATS[[#This Row],[Duration]]/60</f>
        <v>3.6333333333333333</v>
      </c>
      <c r="Z17" s="1">
        <v>5</v>
      </c>
      <c r="AA17" s="1">
        <v>23</v>
      </c>
      <c r="AB17" s="1">
        <v>72</v>
      </c>
    </row>
    <row r="18" spans="1:28">
      <c r="A18" t="s">
        <v>96</v>
      </c>
      <c r="B18" s="1" t="s">
        <v>97</v>
      </c>
      <c r="C18" s="1" t="s">
        <v>67</v>
      </c>
      <c r="D18" s="1">
        <v>2010</v>
      </c>
      <c r="E18" s="3">
        <v>528544703</v>
      </c>
      <c r="F18" s="3" t="str" cm="1">
        <f t="array" ref="F1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8" s="1">
        <v>4277</v>
      </c>
      <c r="H18" s="1">
        <v>147</v>
      </c>
      <c r="I18" s="1">
        <v>102</v>
      </c>
      <c r="J18" s="1">
        <v>26608</v>
      </c>
      <c r="K18" s="1">
        <v>73</v>
      </c>
      <c r="L18" s="1">
        <v>2891</v>
      </c>
      <c r="M18" s="1">
        <v>148</v>
      </c>
      <c r="N18" s="1">
        <v>28066</v>
      </c>
      <c r="O18" s="1">
        <v>121</v>
      </c>
      <c r="P18" s="2">
        <f>SUM(STREAMS_STATS[[#This Row],[In Spotify Playlists]],STREAMS_STATS[[#This Row],[In Apple Playlists]],STREAMS_STATS[[#This Row],[In Deezer Playlists]],STREAMS_STATS[[#This Row],[In YouTube Playlists]])</f>
        <v>61842</v>
      </c>
      <c r="Q18" s="1">
        <v>99</v>
      </c>
      <c r="R18" s="1">
        <v>-7</v>
      </c>
      <c r="S18" s="1" t="s">
        <v>68</v>
      </c>
      <c r="T18" s="1">
        <v>80</v>
      </c>
      <c r="U18" s="1">
        <v>63</v>
      </c>
      <c r="V18" s="1">
        <v>36</v>
      </c>
      <c r="W18" s="1">
        <v>37</v>
      </c>
      <c r="X18" s="1">
        <v>274</v>
      </c>
      <c r="Y18" s="5">
        <f>STREAMS_STATS[[#This Row],[Duration]]/60</f>
        <v>4.5666666666666664</v>
      </c>
      <c r="Z18" s="1">
        <v>0</v>
      </c>
      <c r="AA18" s="1">
        <v>5</v>
      </c>
      <c r="AB18" s="1">
        <v>69</v>
      </c>
    </row>
    <row r="19" spans="1:28">
      <c r="A19" t="s">
        <v>98</v>
      </c>
      <c r="B19" s="1" t="s">
        <v>99</v>
      </c>
      <c r="C19" s="1" t="s">
        <v>100</v>
      </c>
      <c r="D19" s="1">
        <v>2015</v>
      </c>
      <c r="E19" s="3">
        <v>313113297</v>
      </c>
      <c r="F19" s="3" t="str" cm="1">
        <f t="array" ref="F1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9" s="1">
        <v>2460</v>
      </c>
      <c r="H19" s="1">
        <v>121</v>
      </c>
      <c r="I19" s="1">
        <v>2</v>
      </c>
      <c r="J19" s="1">
        <v>5862</v>
      </c>
      <c r="K19" s="1">
        <v>2</v>
      </c>
      <c r="L19" s="1">
        <v>15</v>
      </c>
      <c r="M19" s="1">
        <v>1</v>
      </c>
      <c r="N19" s="1">
        <v>36099</v>
      </c>
      <c r="O19" s="1">
        <v>118</v>
      </c>
      <c r="P19" s="2">
        <f>SUM(STREAMS_STATS[[#This Row],[In Spotify Playlists]],STREAMS_STATS[[#This Row],[In Apple Playlists]],STREAMS_STATS[[#This Row],[In Deezer Playlists]],STREAMS_STATS[[#This Row],[In YouTube Playlists]])</f>
        <v>44436</v>
      </c>
      <c r="Q19" s="1">
        <v>100</v>
      </c>
      <c r="R19" s="1">
        <v>-4</v>
      </c>
      <c r="S19" s="1" t="s">
        <v>68</v>
      </c>
      <c r="T19" s="1">
        <v>76</v>
      </c>
      <c r="U19" s="1">
        <v>51</v>
      </c>
      <c r="V19" s="1">
        <v>11</v>
      </c>
      <c r="W19" s="1">
        <v>44</v>
      </c>
      <c r="X19" s="1">
        <v>264</v>
      </c>
      <c r="Y19" s="5">
        <f>STREAMS_STATS[[#This Row],[Duration]]/60</f>
        <v>4.4000000000000004</v>
      </c>
      <c r="Z19" s="1">
        <v>25</v>
      </c>
      <c r="AA19" s="1">
        <v>5</v>
      </c>
      <c r="AB19" s="1">
        <v>61</v>
      </c>
    </row>
    <row r="20" spans="1:28">
      <c r="A20" t="s">
        <v>101</v>
      </c>
      <c r="B20" s="1" t="s">
        <v>102</v>
      </c>
      <c r="C20" s="1" t="s">
        <v>67</v>
      </c>
      <c r="D20" s="1">
        <v>2015</v>
      </c>
      <c r="E20" s="3">
        <v>376333030</v>
      </c>
      <c r="F20" s="3" t="str" cm="1">
        <f t="array" ref="F2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0" s="1">
        <v>2954</v>
      </c>
      <c r="H20" s="1">
        <v>114</v>
      </c>
      <c r="I20" s="1">
        <v>21</v>
      </c>
      <c r="J20" s="1">
        <v>39836</v>
      </c>
      <c r="K20" s="1">
        <v>50</v>
      </c>
      <c r="L20" s="1">
        <v>885</v>
      </c>
      <c r="M20" s="1">
        <v>34</v>
      </c>
      <c r="N20" s="1">
        <v>33303</v>
      </c>
      <c r="O20" s="1">
        <v>378</v>
      </c>
      <c r="P20" s="2">
        <f>SUM(STREAMS_STATS[[#This Row],[In Spotify Playlists]],STREAMS_STATS[[#This Row],[In Apple Playlists]],STREAMS_STATS[[#This Row],[In Deezer Playlists]],STREAMS_STATS[[#This Row],[In YouTube Playlists]])</f>
        <v>76978</v>
      </c>
      <c r="Q20" s="1">
        <v>134</v>
      </c>
      <c r="R20" s="1">
        <v>-4</v>
      </c>
      <c r="S20" s="1" t="s">
        <v>68</v>
      </c>
      <c r="T20" s="1">
        <v>88</v>
      </c>
      <c r="U20" s="1">
        <v>81</v>
      </c>
      <c r="V20" s="1">
        <v>11</v>
      </c>
      <c r="W20" s="1">
        <v>96</v>
      </c>
      <c r="X20" s="1">
        <v>189</v>
      </c>
      <c r="Y20" s="5">
        <f>STREAMS_STATS[[#This Row],[Duration]]/60</f>
        <v>3.15</v>
      </c>
      <c r="Z20" s="1">
        <v>5</v>
      </c>
      <c r="AA20" s="1">
        <v>5</v>
      </c>
      <c r="AB20" s="1">
        <v>65</v>
      </c>
    </row>
    <row r="21" spans="1:28">
      <c r="A21" t="s">
        <v>103</v>
      </c>
      <c r="B21" s="1" t="s">
        <v>104</v>
      </c>
      <c r="C21" s="1" t="s">
        <v>105</v>
      </c>
      <c r="D21" s="1">
        <v>2019</v>
      </c>
      <c r="E21" s="3">
        <v>1692897992</v>
      </c>
      <c r="F21" s="3" t="str" cm="1">
        <f t="array" ref="F21">_xlfn.IFS(STREAMS_STATS[[#This Row],[Streams]] &gt;= 1000000000, "1B+", STREAMS_STATS[[#This Row],[Streams]] &gt;= 500000000, "500M–1B", STREAMS_STATS[[#This Row],[Streams]] &gt;= 250000000, "250M–500M", TRUE, "Under 250M")</f>
        <v>1B+</v>
      </c>
      <c r="G21" s="1">
        <v>21106</v>
      </c>
      <c r="H21" s="1">
        <v>21</v>
      </c>
      <c r="I21" s="1">
        <v>65</v>
      </c>
      <c r="J21" s="1">
        <v>6651</v>
      </c>
      <c r="K21" s="1">
        <v>65</v>
      </c>
      <c r="L21" s="1">
        <v>497</v>
      </c>
      <c r="M21" s="1">
        <v>40</v>
      </c>
      <c r="N21" s="1">
        <v>31812</v>
      </c>
      <c r="O21" s="1">
        <v>123</v>
      </c>
      <c r="P21" s="2">
        <f>SUM(STREAMS_STATS[[#This Row],[In Spotify Playlists]],STREAMS_STATS[[#This Row],[In Apple Playlists]],STREAMS_STATS[[#This Row],[In Deezer Playlists]],STREAMS_STATS[[#This Row],[In YouTube Playlists]])</f>
        <v>60066</v>
      </c>
      <c r="Q21" s="1">
        <v>125</v>
      </c>
      <c r="R21" s="1">
        <v>-5</v>
      </c>
      <c r="S21" s="1" t="s">
        <v>75</v>
      </c>
      <c r="T21" s="1">
        <v>86</v>
      </c>
      <c r="U21" s="1">
        <v>73</v>
      </c>
      <c r="V21" s="1">
        <v>11</v>
      </c>
      <c r="W21" s="1">
        <v>52</v>
      </c>
      <c r="X21" s="1">
        <v>148</v>
      </c>
      <c r="Y21" s="5">
        <f>STREAMS_STATS[[#This Row],[Duration]]/60</f>
        <v>2.4666666666666668</v>
      </c>
      <c r="Z21" s="1">
        <v>48</v>
      </c>
      <c r="AA21" s="1">
        <v>3</v>
      </c>
      <c r="AB21" s="1">
        <v>82</v>
      </c>
    </row>
    <row r="22" spans="1:28">
      <c r="A22" t="s">
        <v>106</v>
      </c>
      <c r="B22" s="1" t="s">
        <v>36</v>
      </c>
      <c r="C22" s="1" t="s">
        <v>107</v>
      </c>
      <c r="D22" s="1">
        <v>2016</v>
      </c>
      <c r="E22" s="3">
        <v>594482982</v>
      </c>
      <c r="F22" s="3" t="str" cm="1">
        <f t="array" ref="F2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2" s="1">
        <v>4796</v>
      </c>
      <c r="H22" s="1">
        <v>312</v>
      </c>
      <c r="I22" s="1">
        <v>23</v>
      </c>
      <c r="J22" s="1">
        <v>9565</v>
      </c>
      <c r="K22" s="1">
        <v>23</v>
      </c>
      <c r="L22" s="1">
        <v>118</v>
      </c>
      <c r="M22" s="1">
        <v>23</v>
      </c>
      <c r="N22" s="1">
        <v>9558</v>
      </c>
      <c r="O22" s="1">
        <v>305</v>
      </c>
      <c r="P22" s="2">
        <f>SUM(STREAMS_STATS[[#This Row],[In Spotify Playlists]],STREAMS_STATS[[#This Row],[In Apple Playlists]],STREAMS_STATS[[#This Row],[In Deezer Playlists]],STREAMS_STATS[[#This Row],[In YouTube Playlists]])</f>
        <v>24037</v>
      </c>
      <c r="Q22" s="1">
        <v>142</v>
      </c>
      <c r="R22" s="1">
        <v>-5</v>
      </c>
      <c r="S22" s="1" t="s">
        <v>68</v>
      </c>
      <c r="T22" s="1">
        <v>28</v>
      </c>
      <c r="U22" s="1">
        <v>59</v>
      </c>
      <c r="V22" s="1">
        <v>15</v>
      </c>
      <c r="W22" s="1">
        <v>34</v>
      </c>
      <c r="X22" s="1">
        <v>272</v>
      </c>
      <c r="Y22" s="5">
        <f>STREAMS_STATS[[#This Row],[Duration]]/60</f>
        <v>4.5333333333333332</v>
      </c>
      <c r="Z22" s="1">
        <v>88</v>
      </c>
      <c r="AA22" s="1">
        <v>3</v>
      </c>
      <c r="AB22" s="1">
        <v>71</v>
      </c>
    </row>
    <row r="23" spans="1:28">
      <c r="A23" t="s">
        <v>108</v>
      </c>
      <c r="B23" s="1" t="s">
        <v>109</v>
      </c>
      <c r="C23" s="1" t="s">
        <v>110</v>
      </c>
      <c r="D23" s="1">
        <v>2014</v>
      </c>
      <c r="E23" s="3">
        <v>2420461338</v>
      </c>
      <c r="F23" s="3" t="str" cm="1">
        <f t="array" ref="F23">_xlfn.IFS(STREAMS_STATS[[#This Row],[Streams]] &gt;= 1000000000, "1B+", STREAMS_STATS[[#This Row],[Streams]] &gt;= 500000000, "500M–1B", STREAMS_STATS[[#This Row],[Streams]] &gt;= 250000000, "250M–500M", TRUE, "Under 250M")</f>
        <v>1B+</v>
      </c>
      <c r="G23" s="1">
        <v>33966</v>
      </c>
      <c r="H23" s="1">
        <v>2</v>
      </c>
      <c r="I23" s="1">
        <v>47</v>
      </c>
      <c r="J23" s="1">
        <v>20720</v>
      </c>
      <c r="K23" s="1">
        <v>47</v>
      </c>
      <c r="L23" s="1">
        <v>74</v>
      </c>
      <c r="M23" s="1">
        <v>30</v>
      </c>
      <c r="N23" s="1">
        <v>29211</v>
      </c>
      <c r="O23" s="1">
        <v>387</v>
      </c>
      <c r="P23" s="2">
        <f>SUM(STREAMS_STATS[[#This Row],[In Spotify Playlists]],STREAMS_STATS[[#This Row],[In Apple Playlists]],STREAMS_STATS[[#This Row],[In Deezer Playlists]],STREAMS_STATS[[#This Row],[In YouTube Playlists]])</f>
        <v>83971</v>
      </c>
      <c r="Q23" s="1">
        <v>120</v>
      </c>
      <c r="R23" s="1">
        <v>-7</v>
      </c>
      <c r="S23" s="1" t="s">
        <v>75</v>
      </c>
      <c r="T23" s="1">
        <v>26</v>
      </c>
      <c r="U23" s="1">
        <v>42</v>
      </c>
      <c r="V23" s="1">
        <v>13</v>
      </c>
      <c r="W23" s="1">
        <v>33</v>
      </c>
      <c r="X23" s="1">
        <v>270</v>
      </c>
      <c r="Y23" s="5">
        <f>STREAMS_STATS[[#This Row],[Duration]]/60</f>
        <v>4.5</v>
      </c>
      <c r="Z23" s="1">
        <v>92</v>
      </c>
      <c r="AA23" s="1">
        <v>3</v>
      </c>
      <c r="AB23" s="1">
        <v>86</v>
      </c>
    </row>
    <row r="24" spans="1:28">
      <c r="A24" t="s">
        <v>111</v>
      </c>
      <c r="B24" s="1" t="s">
        <v>112</v>
      </c>
      <c r="C24" s="1" t="s">
        <v>67</v>
      </c>
      <c r="D24" s="1">
        <v>2010</v>
      </c>
      <c r="E24" s="3">
        <v>395591396</v>
      </c>
      <c r="F24" s="3" t="str" cm="1">
        <f t="array" ref="F2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4" s="1">
        <v>3047</v>
      </c>
      <c r="H24" s="1">
        <v>325</v>
      </c>
      <c r="I24" s="1">
        <v>456</v>
      </c>
      <c r="J24" s="1">
        <v>39151</v>
      </c>
      <c r="K24" s="1">
        <v>97</v>
      </c>
      <c r="L24" s="1">
        <v>8347</v>
      </c>
      <c r="M24" s="1">
        <v>132</v>
      </c>
      <c r="N24" s="1">
        <v>19653</v>
      </c>
      <c r="O24" s="1">
        <v>179</v>
      </c>
      <c r="P24" s="2">
        <f>SUM(STREAMS_STATS[[#This Row],[In Spotify Playlists]],STREAMS_STATS[[#This Row],[In Apple Playlists]],STREAMS_STATS[[#This Row],[In Deezer Playlists]],STREAMS_STATS[[#This Row],[In YouTube Playlists]])</f>
        <v>70198</v>
      </c>
      <c r="Q24" s="1">
        <v>146</v>
      </c>
      <c r="R24" s="1">
        <v>-4</v>
      </c>
      <c r="S24" s="1" t="s">
        <v>68</v>
      </c>
      <c r="T24" s="1">
        <v>95</v>
      </c>
      <c r="U24" s="1">
        <v>53</v>
      </c>
      <c r="V24" s="1">
        <v>28</v>
      </c>
      <c r="W24" s="1">
        <v>65</v>
      </c>
      <c r="X24" s="1">
        <v>238</v>
      </c>
      <c r="Y24" s="5">
        <f>STREAMS_STATS[[#This Row],[Duration]]/60</f>
        <v>3.9666666666666668</v>
      </c>
      <c r="Z24" s="1">
        <v>26</v>
      </c>
      <c r="AA24" s="1">
        <v>5</v>
      </c>
      <c r="AB24" s="1">
        <v>65</v>
      </c>
    </row>
    <row r="25" spans="1:28">
      <c r="A25" t="s">
        <v>113</v>
      </c>
      <c r="B25" s="1" t="s">
        <v>35</v>
      </c>
      <c r="C25" s="1" t="s">
        <v>24</v>
      </c>
      <c r="D25" s="1">
        <v>2016</v>
      </c>
      <c r="E25" s="3">
        <v>635412045</v>
      </c>
      <c r="F25" s="3" t="str" cm="1">
        <f t="array" ref="F2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5" s="1">
        <v>5263</v>
      </c>
      <c r="H25" s="1">
        <v>206</v>
      </c>
      <c r="I25" s="1">
        <v>9</v>
      </c>
      <c r="J25" s="1">
        <v>6196</v>
      </c>
      <c r="K25" s="1">
        <v>9</v>
      </c>
      <c r="L25" s="1">
        <v>46</v>
      </c>
      <c r="M25" s="1">
        <v>44</v>
      </c>
      <c r="N25" s="1">
        <v>29757</v>
      </c>
      <c r="O25" s="1">
        <v>251</v>
      </c>
      <c r="P25" s="2">
        <f>SUM(STREAMS_STATS[[#This Row],[In Spotify Playlists]],STREAMS_STATS[[#This Row],[In Apple Playlists]],STREAMS_STATS[[#This Row],[In Deezer Playlists]],STREAMS_STATS[[#This Row],[In YouTube Playlists]])</f>
        <v>41262</v>
      </c>
      <c r="Q25" s="1">
        <v>90</v>
      </c>
      <c r="R25" s="1">
        <v>-9</v>
      </c>
      <c r="S25" s="1" t="s">
        <v>75</v>
      </c>
      <c r="T25" s="1">
        <v>59</v>
      </c>
      <c r="U25" s="1">
        <v>66</v>
      </c>
      <c r="V25" s="1">
        <v>12</v>
      </c>
      <c r="W25" s="1">
        <v>30</v>
      </c>
      <c r="X25" s="1">
        <v>194</v>
      </c>
      <c r="Y25" s="5">
        <f>STREAMS_STATS[[#This Row],[Duration]]/60</f>
        <v>3.2333333333333334</v>
      </c>
      <c r="Z25" s="1">
        <v>10</v>
      </c>
      <c r="AA25" s="1">
        <v>3</v>
      </c>
      <c r="AB25" s="1">
        <v>72</v>
      </c>
    </row>
    <row r="26" spans="1:28">
      <c r="A26" t="s">
        <v>114</v>
      </c>
      <c r="B26" s="1" t="s">
        <v>39</v>
      </c>
      <c r="C26" s="1" t="s">
        <v>115</v>
      </c>
      <c r="D26" s="1">
        <v>2015</v>
      </c>
      <c r="E26" s="3">
        <v>319546754</v>
      </c>
      <c r="F26" s="3" t="str" cm="1">
        <f t="array" ref="F2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6" s="1">
        <v>2482</v>
      </c>
      <c r="H26" s="1">
        <v>363</v>
      </c>
      <c r="I26" s="1">
        <v>14</v>
      </c>
      <c r="J26" s="1">
        <v>38523</v>
      </c>
      <c r="K26" s="1">
        <v>14</v>
      </c>
      <c r="L26" s="1">
        <v>19</v>
      </c>
      <c r="M26" s="1">
        <v>24</v>
      </c>
      <c r="N26" s="1">
        <v>33308</v>
      </c>
      <c r="O26" s="1">
        <v>369</v>
      </c>
      <c r="P26" s="2">
        <f>SUM(STREAMS_STATS[[#This Row],[In Spotify Playlists]],STREAMS_STATS[[#This Row],[In Apple Playlists]],STREAMS_STATS[[#This Row],[In Deezer Playlists]],STREAMS_STATS[[#This Row],[In YouTube Playlists]])</f>
        <v>74332</v>
      </c>
      <c r="Q26" s="1">
        <v>78</v>
      </c>
      <c r="R26" s="1">
        <v>-6</v>
      </c>
      <c r="S26" s="1" t="s">
        <v>68</v>
      </c>
      <c r="T26" s="1">
        <v>75</v>
      </c>
      <c r="U26" s="1">
        <v>39</v>
      </c>
      <c r="V26" s="1">
        <v>33</v>
      </c>
      <c r="W26" s="1">
        <v>48</v>
      </c>
      <c r="X26" s="1">
        <v>320</v>
      </c>
      <c r="Y26" s="5">
        <f>STREAMS_STATS[[#This Row],[Duration]]/60</f>
        <v>5.333333333333333</v>
      </c>
      <c r="Z26" s="1">
        <v>5</v>
      </c>
      <c r="AA26" s="1">
        <v>9</v>
      </c>
      <c r="AB26" s="1">
        <v>61</v>
      </c>
    </row>
    <row r="27" spans="1:28">
      <c r="A27" t="s">
        <v>116</v>
      </c>
      <c r="B27" s="1" t="s">
        <v>117</v>
      </c>
      <c r="C27" s="1" t="s">
        <v>67</v>
      </c>
      <c r="D27" s="1">
        <v>2014</v>
      </c>
      <c r="E27" s="3">
        <v>244741137</v>
      </c>
      <c r="F27" s="3" t="str" cm="1">
        <f t="array" ref="F2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7" s="1">
        <v>1769</v>
      </c>
      <c r="H27" s="1">
        <v>366</v>
      </c>
      <c r="I27" s="1">
        <v>3</v>
      </c>
      <c r="J27" s="1">
        <v>30483</v>
      </c>
      <c r="K27" s="1">
        <v>3</v>
      </c>
      <c r="L27" s="1">
        <v>27</v>
      </c>
      <c r="M27" s="1">
        <v>13</v>
      </c>
      <c r="N27" s="1">
        <v>35941</v>
      </c>
      <c r="O27" s="1">
        <v>325</v>
      </c>
      <c r="P27" s="2">
        <f>SUM(STREAMS_STATS[[#This Row],[In Spotify Playlists]],STREAMS_STATS[[#This Row],[In Apple Playlists]],STREAMS_STATS[[#This Row],[In Deezer Playlists]],STREAMS_STATS[[#This Row],[In YouTube Playlists]])</f>
        <v>68220</v>
      </c>
      <c r="Q27" s="1">
        <v>130</v>
      </c>
      <c r="R27" s="1">
        <v>-6</v>
      </c>
      <c r="S27" s="1" t="s">
        <v>75</v>
      </c>
      <c r="T27" s="1">
        <v>60</v>
      </c>
      <c r="U27" s="1">
        <v>96</v>
      </c>
      <c r="V27" s="1">
        <v>21</v>
      </c>
      <c r="W27" s="1">
        <v>65</v>
      </c>
      <c r="X27" s="1">
        <v>260</v>
      </c>
      <c r="Y27" s="5">
        <f>STREAMS_STATS[[#This Row],[Duration]]/60</f>
        <v>4.333333333333333</v>
      </c>
      <c r="Z27" s="1">
        <v>7</v>
      </c>
      <c r="AA27" s="1">
        <v>18</v>
      </c>
      <c r="AB27" s="1">
        <v>50</v>
      </c>
    </row>
    <row r="28" spans="1:28">
      <c r="A28" t="s">
        <v>118</v>
      </c>
      <c r="B28" s="1" t="s">
        <v>119</v>
      </c>
      <c r="C28" s="1" t="s">
        <v>67</v>
      </c>
      <c r="D28" s="1">
        <v>2017</v>
      </c>
      <c r="E28" s="3">
        <v>300983101</v>
      </c>
      <c r="F28" s="3" t="str" cm="1">
        <f t="array" ref="F2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8" s="1">
        <v>2302</v>
      </c>
      <c r="H28" s="1">
        <v>299</v>
      </c>
      <c r="I28" s="1">
        <v>17</v>
      </c>
      <c r="J28" s="1">
        <v>24219</v>
      </c>
      <c r="K28" s="1">
        <v>17</v>
      </c>
      <c r="L28" s="1">
        <v>30</v>
      </c>
      <c r="M28" s="1">
        <v>45</v>
      </c>
      <c r="N28" s="1">
        <v>39025</v>
      </c>
      <c r="O28" s="1">
        <v>352</v>
      </c>
      <c r="P28" s="2">
        <f>SUM(STREAMS_STATS[[#This Row],[In Spotify Playlists]],STREAMS_STATS[[#This Row],[In Apple Playlists]],STREAMS_STATS[[#This Row],[In Deezer Playlists]],STREAMS_STATS[[#This Row],[In YouTube Playlists]])</f>
        <v>65576</v>
      </c>
      <c r="Q28" s="1">
        <v>124</v>
      </c>
      <c r="R28" s="1">
        <v>-6</v>
      </c>
      <c r="S28" s="1" t="s">
        <v>68</v>
      </c>
      <c r="T28" s="1">
        <v>53</v>
      </c>
      <c r="U28" s="1">
        <v>74</v>
      </c>
      <c r="V28" s="1">
        <v>35</v>
      </c>
      <c r="W28" s="1">
        <v>13</v>
      </c>
      <c r="X28" s="1">
        <v>189</v>
      </c>
      <c r="Y28" s="5">
        <f>STREAMS_STATS[[#This Row],[Duration]]/60</f>
        <v>3.15</v>
      </c>
      <c r="Z28" s="1">
        <v>0</v>
      </c>
      <c r="AA28" s="1">
        <v>4</v>
      </c>
      <c r="AB28" s="1">
        <v>59</v>
      </c>
    </row>
    <row r="29" spans="1:28">
      <c r="A29" t="s">
        <v>120</v>
      </c>
      <c r="B29" s="1" t="s">
        <v>121</v>
      </c>
      <c r="C29" s="1" t="s">
        <v>122</v>
      </c>
      <c r="D29" s="1">
        <v>2010</v>
      </c>
      <c r="E29" s="3">
        <v>394030335</v>
      </c>
      <c r="F29" s="3" t="str" cm="1">
        <f t="array" ref="F2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9" s="1">
        <v>3045</v>
      </c>
      <c r="H29" s="1">
        <v>158</v>
      </c>
      <c r="I29" s="1">
        <v>276</v>
      </c>
      <c r="J29" s="1">
        <v>35889</v>
      </c>
      <c r="K29" s="1">
        <v>68</v>
      </c>
      <c r="L29" s="1">
        <v>1917</v>
      </c>
      <c r="M29" s="1">
        <v>63</v>
      </c>
      <c r="N29" s="1">
        <v>7729</v>
      </c>
      <c r="O29" s="1">
        <v>113</v>
      </c>
      <c r="P29" s="2">
        <f>SUM(STREAMS_STATS[[#This Row],[In Spotify Playlists]],STREAMS_STATS[[#This Row],[In Apple Playlists]],STREAMS_STATS[[#This Row],[In Deezer Playlists]],STREAMS_STATS[[#This Row],[In YouTube Playlists]])</f>
        <v>48580</v>
      </c>
      <c r="Q29" s="1">
        <v>148</v>
      </c>
      <c r="R29" s="1">
        <v>-6</v>
      </c>
      <c r="S29" s="1" t="s">
        <v>75</v>
      </c>
      <c r="T29" s="1">
        <v>83</v>
      </c>
      <c r="U29" s="1">
        <v>48</v>
      </c>
      <c r="V29" s="1">
        <v>38</v>
      </c>
      <c r="W29" s="1">
        <v>74</v>
      </c>
      <c r="X29" s="1">
        <v>212</v>
      </c>
      <c r="Y29" s="5">
        <f>STREAMS_STATS[[#This Row],[Duration]]/60</f>
        <v>3.5333333333333332</v>
      </c>
      <c r="Z29" s="1">
        <v>0</v>
      </c>
      <c r="AA29" s="1">
        <v>4</v>
      </c>
      <c r="AB29" s="1">
        <v>65</v>
      </c>
    </row>
    <row r="30" spans="1:28">
      <c r="A30" t="s">
        <v>123</v>
      </c>
      <c r="B30" s="1" t="s">
        <v>32</v>
      </c>
      <c r="C30" s="1" t="s">
        <v>25</v>
      </c>
      <c r="D30" s="1">
        <v>2015</v>
      </c>
      <c r="E30" s="3">
        <v>956865266</v>
      </c>
      <c r="F30" s="3" t="str" cm="1">
        <f t="array" ref="F3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0" s="1">
        <v>8559</v>
      </c>
      <c r="H30" s="1">
        <v>88</v>
      </c>
      <c r="I30" s="1">
        <v>18</v>
      </c>
      <c r="J30" s="1">
        <v>7768</v>
      </c>
      <c r="K30" s="1">
        <v>18</v>
      </c>
      <c r="L30" s="1">
        <v>39</v>
      </c>
      <c r="M30" s="1">
        <v>2</v>
      </c>
      <c r="N30" s="1">
        <v>2878</v>
      </c>
      <c r="O30" s="1">
        <v>38</v>
      </c>
      <c r="P30" s="2">
        <f>SUM(STREAMS_STATS[[#This Row],[In Spotify Playlists]],STREAMS_STATS[[#This Row],[In Apple Playlists]],STREAMS_STATS[[#This Row],[In Deezer Playlists]],STREAMS_STATS[[#This Row],[In YouTube Playlists]])</f>
        <v>19244</v>
      </c>
      <c r="Q30" s="1">
        <v>190</v>
      </c>
      <c r="R30" s="1">
        <v>-6</v>
      </c>
      <c r="S30" s="1" t="s">
        <v>75</v>
      </c>
      <c r="T30" s="1">
        <v>74</v>
      </c>
      <c r="U30" s="1">
        <v>28</v>
      </c>
      <c r="V30" s="1">
        <v>59</v>
      </c>
      <c r="W30" s="1">
        <v>33</v>
      </c>
      <c r="X30" s="1">
        <v>231</v>
      </c>
      <c r="Y30" s="5">
        <f>STREAMS_STATS[[#This Row],[Duration]]/60</f>
        <v>3.85</v>
      </c>
      <c r="Z30" s="1">
        <v>0</v>
      </c>
      <c r="AA30" s="1">
        <v>9</v>
      </c>
      <c r="AB30" s="1">
        <v>85</v>
      </c>
    </row>
    <row r="31" spans="1:28">
      <c r="A31" t="s">
        <v>124</v>
      </c>
      <c r="B31" s="1" t="s">
        <v>31</v>
      </c>
      <c r="C31" s="1" t="s">
        <v>25</v>
      </c>
      <c r="D31" s="1">
        <v>2019</v>
      </c>
      <c r="E31" s="3">
        <v>1145727611</v>
      </c>
      <c r="F31" s="3" t="str" cm="1">
        <f t="array" ref="F31">_xlfn.IFS(STREAMS_STATS[[#This Row],[Streams]] &gt;= 1000000000, "1B+", STREAMS_STATS[[#This Row],[Streams]] &gt;= 500000000, "500M–1B", STREAMS_STATS[[#This Row],[Streams]] &gt;= 250000000, "250M–500M", TRUE, "Under 250M")</f>
        <v>1B+</v>
      </c>
      <c r="G31" s="1">
        <v>10565</v>
      </c>
      <c r="H31" s="1">
        <v>94</v>
      </c>
      <c r="I31" s="1">
        <v>94</v>
      </c>
      <c r="J31" s="1">
        <v>13115</v>
      </c>
      <c r="K31" s="1">
        <v>94</v>
      </c>
      <c r="L31" s="2">
        <v>1992</v>
      </c>
      <c r="M31" s="1">
        <v>22</v>
      </c>
      <c r="N31" s="1">
        <v>29521</v>
      </c>
      <c r="O31" s="1">
        <v>67</v>
      </c>
      <c r="P31" s="2">
        <f>SUM(STREAMS_STATS[[#This Row],[In Spotify Playlists]],STREAMS_STATS[[#This Row],[In Apple Playlists]],STREAMS_STATS[[#This Row],[In Deezer Playlists]],STREAMS_STATS[[#This Row],[In YouTube Playlists]])</f>
        <v>55193</v>
      </c>
      <c r="Q31" s="1">
        <v>152</v>
      </c>
      <c r="R31" s="1">
        <v>-5</v>
      </c>
      <c r="S31" s="1" t="s">
        <v>68</v>
      </c>
      <c r="T31" s="1">
        <v>82</v>
      </c>
      <c r="U31" s="1">
        <v>72</v>
      </c>
      <c r="V31" s="1">
        <v>36</v>
      </c>
      <c r="W31" s="1">
        <v>91</v>
      </c>
      <c r="X31" s="1">
        <v>162</v>
      </c>
      <c r="Y31" s="5">
        <f>STREAMS_STATS[[#This Row],[Duration]]/60</f>
        <v>2.7</v>
      </c>
      <c r="Z31" s="1">
        <v>13</v>
      </c>
      <c r="AA31" s="1">
        <v>5</v>
      </c>
      <c r="AB31" s="1">
        <v>78</v>
      </c>
    </row>
    <row r="32" spans="1:28">
      <c r="A32" t="s">
        <v>125</v>
      </c>
      <c r="B32" s="1" t="s">
        <v>126</v>
      </c>
      <c r="C32" s="1" t="s">
        <v>67</v>
      </c>
      <c r="D32" s="1">
        <v>2013</v>
      </c>
      <c r="E32" s="3">
        <v>253650850</v>
      </c>
      <c r="F32" s="3" t="str" cm="1">
        <f t="array" ref="F3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2" s="1">
        <v>1890</v>
      </c>
      <c r="H32" s="1">
        <v>120</v>
      </c>
      <c r="I32" s="1">
        <v>15</v>
      </c>
      <c r="J32" s="1">
        <v>5805</v>
      </c>
      <c r="K32" s="1">
        <v>15</v>
      </c>
      <c r="L32" s="1">
        <v>6</v>
      </c>
      <c r="M32" s="1">
        <v>38</v>
      </c>
      <c r="N32" s="1">
        <v>20821</v>
      </c>
      <c r="O32" s="1">
        <v>271</v>
      </c>
      <c r="P32" s="2">
        <f>SUM(STREAMS_STATS[[#This Row],[In Spotify Playlists]],STREAMS_STATS[[#This Row],[In Apple Playlists]],STREAMS_STATS[[#This Row],[In Deezer Playlists]],STREAMS_STATS[[#This Row],[In YouTube Playlists]])</f>
        <v>28522</v>
      </c>
      <c r="Q32" s="1">
        <v>103</v>
      </c>
      <c r="R32" s="1">
        <v>-4</v>
      </c>
      <c r="S32" s="1" t="s">
        <v>75</v>
      </c>
      <c r="T32" s="1">
        <v>78</v>
      </c>
      <c r="U32" s="1">
        <v>70</v>
      </c>
      <c r="V32" s="1">
        <v>14</v>
      </c>
      <c r="W32" s="1">
        <v>38</v>
      </c>
      <c r="X32" s="1">
        <v>286</v>
      </c>
      <c r="Y32" s="5">
        <f>STREAMS_STATS[[#This Row],[Duration]]/60</f>
        <v>4.7666666666666666</v>
      </c>
      <c r="Z32" s="1">
        <v>43</v>
      </c>
      <c r="AA32" s="1">
        <v>3</v>
      </c>
      <c r="AB32" s="1">
        <v>52</v>
      </c>
    </row>
    <row r="33" spans="1:28">
      <c r="A33" t="s">
        <v>127</v>
      </c>
      <c r="B33" s="1" t="s">
        <v>128</v>
      </c>
      <c r="C33" s="1" t="s">
        <v>67</v>
      </c>
      <c r="D33" s="1">
        <v>2018</v>
      </c>
      <c r="E33" s="3">
        <v>789753877</v>
      </c>
      <c r="F33" s="3" t="str" cm="1">
        <f t="array" ref="F3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3" s="1">
        <v>6858</v>
      </c>
      <c r="H33" s="1">
        <v>445</v>
      </c>
      <c r="I33" s="1">
        <v>6</v>
      </c>
      <c r="J33" s="1">
        <v>20971</v>
      </c>
      <c r="K33" s="1">
        <v>6</v>
      </c>
      <c r="L33" s="1">
        <v>105</v>
      </c>
      <c r="M33" s="1">
        <v>1</v>
      </c>
      <c r="N33" s="1">
        <v>39466</v>
      </c>
      <c r="O33" s="1">
        <v>72</v>
      </c>
      <c r="P33" s="2">
        <f>SUM(STREAMS_STATS[[#This Row],[In Spotify Playlists]],STREAMS_STATS[[#This Row],[In Apple Playlists]],STREAMS_STATS[[#This Row],[In Deezer Playlists]],STREAMS_STATS[[#This Row],[In YouTube Playlists]])</f>
        <v>67400</v>
      </c>
      <c r="Q33" s="1">
        <v>107</v>
      </c>
      <c r="R33" s="1">
        <v>-4</v>
      </c>
      <c r="S33" s="1" t="s">
        <v>68</v>
      </c>
      <c r="T33" s="1">
        <v>80</v>
      </c>
      <c r="U33" s="1">
        <v>63</v>
      </c>
      <c r="V33" s="1">
        <v>10</v>
      </c>
      <c r="W33" s="1">
        <v>32</v>
      </c>
      <c r="X33" s="1">
        <v>215</v>
      </c>
      <c r="Y33" s="5">
        <f>STREAMS_STATS[[#This Row],[Duration]]/60</f>
        <v>3.5833333333333335</v>
      </c>
      <c r="Z33" s="1">
        <v>4</v>
      </c>
      <c r="AA33" s="1">
        <v>6</v>
      </c>
      <c r="AB33" s="1">
        <v>74</v>
      </c>
    </row>
    <row r="34" spans="1:28">
      <c r="A34" t="s">
        <v>129</v>
      </c>
      <c r="B34" s="1" t="s">
        <v>97</v>
      </c>
      <c r="C34" s="1" t="s">
        <v>67</v>
      </c>
      <c r="D34" s="1">
        <v>2013</v>
      </c>
      <c r="E34" s="3">
        <v>254218729</v>
      </c>
      <c r="F34" s="3" t="str" cm="1">
        <f t="array" ref="F3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4" s="1">
        <v>1900</v>
      </c>
      <c r="H34" s="1">
        <v>401</v>
      </c>
      <c r="I34" s="1">
        <v>10</v>
      </c>
      <c r="J34" s="1">
        <v>21149</v>
      </c>
      <c r="K34" s="1">
        <v>10</v>
      </c>
      <c r="L34" s="1">
        <v>8062</v>
      </c>
      <c r="M34" s="1">
        <v>22</v>
      </c>
      <c r="N34" s="1">
        <v>26064</v>
      </c>
      <c r="O34" s="1">
        <v>397</v>
      </c>
      <c r="P34" s="2">
        <f>SUM(STREAMS_STATS[[#This Row],[In Spotify Playlists]],STREAMS_STATS[[#This Row],[In Apple Playlists]],STREAMS_STATS[[#This Row],[In Deezer Playlists]],STREAMS_STATS[[#This Row],[In YouTube Playlists]])</f>
        <v>57175</v>
      </c>
      <c r="Q34" s="1">
        <v>140</v>
      </c>
      <c r="R34" s="1">
        <v>-4</v>
      </c>
      <c r="S34" s="1" t="s">
        <v>75</v>
      </c>
      <c r="T34" s="1">
        <v>78</v>
      </c>
      <c r="U34" s="1">
        <v>67</v>
      </c>
      <c r="V34" s="1">
        <v>11</v>
      </c>
      <c r="W34" s="1">
        <v>73</v>
      </c>
      <c r="X34" s="1">
        <v>212</v>
      </c>
      <c r="Y34" s="5">
        <f>STREAMS_STATS[[#This Row],[Duration]]/60</f>
        <v>3.5333333333333332</v>
      </c>
      <c r="Z34" s="1">
        <v>3</v>
      </c>
      <c r="AA34" s="1">
        <v>5</v>
      </c>
      <c r="AB34" s="1">
        <v>52</v>
      </c>
    </row>
    <row r="35" spans="1:28">
      <c r="A35" t="s">
        <v>130</v>
      </c>
      <c r="B35" s="1" t="s">
        <v>85</v>
      </c>
      <c r="C35" s="1" t="s">
        <v>86</v>
      </c>
      <c r="D35" s="1">
        <v>2013</v>
      </c>
      <c r="E35" s="3">
        <v>272377463</v>
      </c>
      <c r="F35" s="3" t="str" cm="1">
        <f t="array" ref="F3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5" s="1">
        <v>2005</v>
      </c>
      <c r="H35" s="1">
        <v>164</v>
      </c>
      <c r="I35" s="1">
        <v>112</v>
      </c>
      <c r="J35" s="1">
        <v>26195</v>
      </c>
      <c r="K35" s="1">
        <v>112</v>
      </c>
      <c r="L35" s="2">
        <v>2163</v>
      </c>
      <c r="M35" s="1">
        <v>5</v>
      </c>
      <c r="N35" s="1">
        <v>25535</v>
      </c>
      <c r="O35" s="1">
        <v>185</v>
      </c>
      <c r="P35" s="2">
        <f>SUM(STREAMS_STATS[[#This Row],[In Spotify Playlists]],STREAMS_STATS[[#This Row],[In Apple Playlists]],STREAMS_STATS[[#This Row],[In Deezer Playlists]],STREAMS_STATS[[#This Row],[In YouTube Playlists]])</f>
        <v>55898</v>
      </c>
      <c r="Q35" s="1">
        <v>136</v>
      </c>
      <c r="R35" s="1">
        <v>-8</v>
      </c>
      <c r="S35" s="1" t="s">
        <v>68</v>
      </c>
      <c r="T35" s="1">
        <v>45</v>
      </c>
      <c r="U35" s="1">
        <v>28</v>
      </c>
      <c r="V35" s="1">
        <v>11</v>
      </c>
      <c r="W35" s="1">
        <v>11</v>
      </c>
      <c r="X35" s="1">
        <v>236</v>
      </c>
      <c r="Y35" s="5">
        <f>STREAMS_STATS[[#This Row],[Duration]]/60</f>
        <v>3.9333333333333331</v>
      </c>
      <c r="Z35" s="1">
        <v>63</v>
      </c>
      <c r="AA35" s="1">
        <v>3</v>
      </c>
      <c r="AB35" s="1">
        <v>55</v>
      </c>
    </row>
    <row r="36" spans="1:28">
      <c r="A36" t="s">
        <v>131</v>
      </c>
      <c r="B36" s="1" t="s">
        <v>132</v>
      </c>
      <c r="C36" s="1" t="s">
        <v>67</v>
      </c>
      <c r="D36" s="1">
        <v>2018</v>
      </c>
      <c r="E36" s="3">
        <v>1791000570</v>
      </c>
      <c r="F36" s="3" t="str" cm="1">
        <f t="array" ref="F36">_xlfn.IFS(STREAMS_STATS[[#This Row],[Streams]] &gt;= 1000000000, "1B+", STREAMS_STATS[[#This Row],[Streams]] &gt;= 500000000, "500M–1B", STREAMS_STATS[[#This Row],[Streams]] &gt;= 250000000, "250M–500M", TRUE, "Under 250M")</f>
        <v>1B+</v>
      </c>
      <c r="G36" s="1">
        <v>22730</v>
      </c>
      <c r="H36" s="1">
        <v>19</v>
      </c>
      <c r="I36" s="1">
        <v>50</v>
      </c>
      <c r="J36" s="1">
        <v>39585</v>
      </c>
      <c r="K36" s="1">
        <v>50</v>
      </c>
      <c r="L36" s="1">
        <v>463</v>
      </c>
      <c r="M36" s="1">
        <v>4</v>
      </c>
      <c r="N36" s="1">
        <v>8424</v>
      </c>
      <c r="O36" s="1">
        <v>396</v>
      </c>
      <c r="P36" s="2">
        <f>SUM(STREAMS_STATS[[#This Row],[In Spotify Playlists]],STREAMS_STATS[[#This Row],[In Apple Playlists]],STREAMS_STATS[[#This Row],[In Deezer Playlists]],STREAMS_STATS[[#This Row],[In YouTube Playlists]])</f>
        <v>71202</v>
      </c>
      <c r="Q36" s="1">
        <v>100</v>
      </c>
      <c r="R36" s="1">
        <v>-5</v>
      </c>
      <c r="S36" s="1" t="s">
        <v>68</v>
      </c>
      <c r="T36" s="1">
        <v>61</v>
      </c>
      <c r="U36" s="1">
        <v>78</v>
      </c>
      <c r="V36" s="1">
        <v>13</v>
      </c>
      <c r="W36" s="1">
        <v>80</v>
      </c>
      <c r="X36" s="1">
        <v>209</v>
      </c>
      <c r="Y36" s="5">
        <f>STREAMS_STATS[[#This Row],[Duration]]/60</f>
        <v>3.4833333333333334</v>
      </c>
      <c r="Z36" s="1">
        <v>11</v>
      </c>
      <c r="AA36" s="1">
        <v>5</v>
      </c>
      <c r="AB36" s="1">
        <v>83</v>
      </c>
    </row>
    <row r="37" spans="1:28">
      <c r="A37" t="s">
        <v>133</v>
      </c>
      <c r="B37" s="1" t="s">
        <v>37</v>
      </c>
      <c r="C37" s="1" t="s">
        <v>134</v>
      </c>
      <c r="D37" s="1">
        <v>2010</v>
      </c>
      <c r="E37" s="3">
        <v>1143647827</v>
      </c>
      <c r="F37" s="3" t="str" cm="1">
        <f t="array" ref="F37">_xlfn.IFS(STREAMS_STATS[[#This Row],[Streams]] &gt;= 1000000000, "1B+", STREAMS_STATS[[#This Row],[Streams]] &gt;= 500000000, "500M–1B", STREAMS_STATS[[#This Row],[Streams]] &gt;= 250000000, "250M–500M", TRUE, "Under 250M")</f>
        <v>1B+</v>
      </c>
      <c r="G37" s="1">
        <v>10431</v>
      </c>
      <c r="H37" s="1">
        <v>84</v>
      </c>
      <c r="I37" s="1">
        <v>313</v>
      </c>
      <c r="J37" s="1">
        <v>17210</v>
      </c>
      <c r="K37" s="1">
        <v>84</v>
      </c>
      <c r="L37" s="1">
        <v>9618</v>
      </c>
      <c r="M37" s="1">
        <v>117</v>
      </c>
      <c r="N37" s="1">
        <v>10525</v>
      </c>
      <c r="O37" s="1">
        <v>145</v>
      </c>
      <c r="P37" s="2">
        <f>SUM(STREAMS_STATS[[#This Row],[In Spotify Playlists]],STREAMS_STATS[[#This Row],[In Apple Playlists]],STREAMS_STATS[[#This Row],[In Deezer Playlists]],STREAMS_STATS[[#This Row],[In YouTube Playlists]])</f>
        <v>47784</v>
      </c>
      <c r="Q37" s="1">
        <v>65</v>
      </c>
      <c r="R37" s="1">
        <v>-5</v>
      </c>
      <c r="S37" s="1" t="s">
        <v>68</v>
      </c>
      <c r="T37" s="1">
        <v>86</v>
      </c>
      <c r="U37" s="1">
        <v>73</v>
      </c>
      <c r="V37" s="1">
        <v>11</v>
      </c>
      <c r="W37" s="1">
        <v>54</v>
      </c>
      <c r="X37" s="1">
        <v>214</v>
      </c>
      <c r="Y37" s="5">
        <f>STREAMS_STATS[[#This Row],[Duration]]/60</f>
        <v>3.5666666666666669</v>
      </c>
      <c r="Z37" s="1">
        <v>4</v>
      </c>
      <c r="AA37" s="1">
        <v>14</v>
      </c>
      <c r="AB37" s="1">
        <v>77</v>
      </c>
    </row>
    <row r="38" spans="1:28">
      <c r="A38" t="s">
        <v>135</v>
      </c>
      <c r="B38" s="1" t="s">
        <v>136</v>
      </c>
      <c r="C38" s="1" t="s">
        <v>67</v>
      </c>
      <c r="D38" s="1">
        <v>2015</v>
      </c>
      <c r="E38" s="3">
        <v>247689123</v>
      </c>
      <c r="F38" s="3" t="str" cm="1">
        <f t="array" ref="F3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8" s="1">
        <v>1838</v>
      </c>
      <c r="H38" s="1">
        <v>238</v>
      </c>
      <c r="I38" s="1">
        <v>7</v>
      </c>
      <c r="J38" s="1">
        <v>34437</v>
      </c>
      <c r="K38" s="1">
        <v>7</v>
      </c>
      <c r="L38" s="1">
        <v>14</v>
      </c>
      <c r="M38" s="1">
        <v>7</v>
      </c>
      <c r="N38" s="1">
        <v>11802</v>
      </c>
      <c r="O38" s="1">
        <v>240</v>
      </c>
      <c r="P38" s="2">
        <f>SUM(STREAMS_STATS[[#This Row],[In Spotify Playlists]],STREAMS_STATS[[#This Row],[In Apple Playlists]],STREAMS_STATS[[#This Row],[In Deezer Playlists]],STREAMS_STATS[[#This Row],[In YouTube Playlists]])</f>
        <v>48091</v>
      </c>
      <c r="Q38" s="1">
        <v>100</v>
      </c>
      <c r="R38" s="1">
        <v>-5</v>
      </c>
      <c r="S38" s="1" t="s">
        <v>68</v>
      </c>
      <c r="T38" s="1">
        <v>55</v>
      </c>
      <c r="U38" s="1">
        <v>69</v>
      </c>
      <c r="V38" s="1">
        <v>10</v>
      </c>
      <c r="W38" s="1">
        <v>26</v>
      </c>
      <c r="X38" s="1">
        <v>203</v>
      </c>
      <c r="Y38" s="5">
        <f>STREAMS_STATS[[#This Row],[Duration]]/60</f>
        <v>3.3833333333333333</v>
      </c>
      <c r="Z38" s="1">
        <v>1</v>
      </c>
      <c r="AA38" s="1">
        <v>3</v>
      </c>
      <c r="AB38" s="1">
        <v>52</v>
      </c>
    </row>
    <row r="39" spans="1:28">
      <c r="A39" t="s">
        <v>137</v>
      </c>
      <c r="B39" s="1" t="s">
        <v>138</v>
      </c>
      <c r="C39" s="1" t="s">
        <v>67</v>
      </c>
      <c r="D39" s="1">
        <v>2018</v>
      </c>
      <c r="E39" s="3">
        <v>1163093654</v>
      </c>
      <c r="F39" s="3" t="str" cm="1">
        <f t="array" ref="F39">_xlfn.IFS(STREAMS_STATS[[#This Row],[Streams]] &gt;= 1000000000, "1B+", STREAMS_STATS[[#This Row],[Streams]] &gt;= 500000000, "500M–1B", STREAMS_STATS[[#This Row],[Streams]] &gt;= 250000000, "250M–500M", TRUE, "Under 250M")</f>
        <v>1B+</v>
      </c>
      <c r="G39" s="1">
        <v>10624</v>
      </c>
      <c r="H39" s="1">
        <v>85</v>
      </c>
      <c r="I39" s="1">
        <v>24</v>
      </c>
      <c r="J39" s="1">
        <v>8529</v>
      </c>
      <c r="K39" s="1">
        <v>24</v>
      </c>
      <c r="L39" s="1">
        <v>254</v>
      </c>
      <c r="M39" s="1">
        <v>29</v>
      </c>
      <c r="N39" s="1">
        <v>5475</v>
      </c>
      <c r="O39" s="1">
        <v>10</v>
      </c>
      <c r="P39" s="2">
        <f>SUM(STREAMS_STATS[[#This Row],[In Spotify Playlists]],STREAMS_STATS[[#This Row],[In Apple Playlists]],STREAMS_STATS[[#This Row],[In Deezer Playlists]],STREAMS_STATS[[#This Row],[In YouTube Playlists]])</f>
        <v>24882</v>
      </c>
      <c r="Q39" s="1">
        <v>118</v>
      </c>
      <c r="R39" s="1">
        <v>-4</v>
      </c>
      <c r="S39" s="1" t="s">
        <v>75</v>
      </c>
      <c r="T39" s="1">
        <v>75</v>
      </c>
      <c r="U39" s="1">
        <v>68</v>
      </c>
      <c r="V39" s="1">
        <v>9</v>
      </c>
      <c r="W39" s="1">
        <v>61</v>
      </c>
      <c r="X39" s="1">
        <v>181</v>
      </c>
      <c r="Y39" s="5">
        <f>STREAMS_STATS[[#This Row],[Duration]]/60</f>
        <v>3.0166666666666666</v>
      </c>
      <c r="Z39" s="1">
        <v>6</v>
      </c>
      <c r="AA39" s="1">
        <v>3</v>
      </c>
      <c r="AB39" s="1">
        <v>78</v>
      </c>
    </row>
    <row r="40" spans="1:28">
      <c r="A40" t="s">
        <v>139</v>
      </c>
      <c r="B40" s="1" t="s">
        <v>140</v>
      </c>
      <c r="C40" s="1" t="s">
        <v>67</v>
      </c>
      <c r="D40" s="1">
        <v>2018</v>
      </c>
      <c r="E40" s="3">
        <v>826623384</v>
      </c>
      <c r="F40" s="3" t="str" cm="1">
        <f t="array" ref="F4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0" s="1">
        <v>7495</v>
      </c>
      <c r="H40" s="1">
        <v>213</v>
      </c>
      <c r="I40" s="1">
        <v>73</v>
      </c>
      <c r="J40" s="1">
        <v>29371</v>
      </c>
      <c r="K40" s="1">
        <v>73</v>
      </c>
      <c r="L40" s="1">
        <v>344</v>
      </c>
      <c r="M40" s="1">
        <v>33</v>
      </c>
      <c r="N40" s="1">
        <v>21089</v>
      </c>
      <c r="O40" s="1">
        <v>364</v>
      </c>
      <c r="P40" s="2">
        <f>SUM(STREAMS_STATS[[#This Row],[In Spotify Playlists]],STREAMS_STATS[[#This Row],[In Apple Playlists]],STREAMS_STATS[[#This Row],[In Deezer Playlists]],STREAMS_STATS[[#This Row],[In YouTube Playlists]])</f>
        <v>58299</v>
      </c>
      <c r="Q40" s="1">
        <v>121</v>
      </c>
      <c r="R40" s="1">
        <v>-6</v>
      </c>
      <c r="S40" s="1" t="s">
        <v>75</v>
      </c>
      <c r="T40" s="1">
        <v>41</v>
      </c>
      <c r="U40" s="1">
        <v>97</v>
      </c>
      <c r="V40" s="1">
        <v>8</v>
      </c>
      <c r="W40" s="1">
        <v>73</v>
      </c>
      <c r="X40" s="1">
        <v>215</v>
      </c>
      <c r="Y40" s="5">
        <f>STREAMS_STATS[[#This Row],[Duration]]/60</f>
        <v>3.5833333333333335</v>
      </c>
      <c r="Z40" s="1">
        <v>19</v>
      </c>
      <c r="AA40" s="1">
        <v>7</v>
      </c>
      <c r="AB40" s="1">
        <v>75</v>
      </c>
    </row>
    <row r="41" spans="1:28">
      <c r="A41" t="s">
        <v>141</v>
      </c>
      <c r="B41" s="1" t="s">
        <v>97</v>
      </c>
      <c r="C41" s="1" t="s">
        <v>67</v>
      </c>
      <c r="D41" s="1">
        <v>2010</v>
      </c>
      <c r="E41" s="3">
        <v>1406111294</v>
      </c>
      <c r="F41" s="3" t="str" cm="1">
        <f t="array" ref="F41">_xlfn.IFS(STREAMS_STATS[[#This Row],[Streams]] &gt;= 1000000000, "1B+", STREAMS_STATS[[#This Row],[Streams]] &gt;= 500000000, "500M–1B", STREAMS_STATS[[#This Row],[Streams]] &gt;= 250000000, "250M–500M", TRUE, "Under 250M")</f>
        <v>1B+</v>
      </c>
      <c r="G41" s="1">
        <v>15032</v>
      </c>
      <c r="H41" s="1">
        <v>47</v>
      </c>
      <c r="I41" s="1">
        <v>322</v>
      </c>
      <c r="J41" s="1">
        <v>5303</v>
      </c>
      <c r="K41" s="1">
        <v>79</v>
      </c>
      <c r="L41" s="1">
        <v>4026</v>
      </c>
      <c r="M41" s="1">
        <v>120</v>
      </c>
      <c r="N41" s="1">
        <v>28604</v>
      </c>
      <c r="O41" s="1">
        <v>387</v>
      </c>
      <c r="P41" s="2">
        <f>SUM(STREAMS_STATS[[#This Row],[In Spotify Playlists]],STREAMS_STATS[[#This Row],[In Apple Playlists]],STREAMS_STATS[[#This Row],[In Deezer Playlists]],STREAMS_STATS[[#This Row],[In YouTube Playlists]])</f>
        <v>52965</v>
      </c>
      <c r="Q41" s="1">
        <v>119</v>
      </c>
      <c r="R41" s="1">
        <v>-4</v>
      </c>
      <c r="S41" s="1" t="s">
        <v>68</v>
      </c>
      <c r="T41" s="1">
        <v>92</v>
      </c>
      <c r="U41" s="1">
        <v>70</v>
      </c>
      <c r="V41" s="1">
        <v>8</v>
      </c>
      <c r="W41" s="1">
        <v>71</v>
      </c>
      <c r="X41" s="1">
        <v>295</v>
      </c>
      <c r="Y41" s="5">
        <f>STREAMS_STATS[[#This Row],[Duration]]/60</f>
        <v>4.916666666666667</v>
      </c>
      <c r="Z41" s="1">
        <v>0</v>
      </c>
      <c r="AA41" s="1">
        <v>4</v>
      </c>
      <c r="AB41" s="1">
        <v>79</v>
      </c>
    </row>
    <row r="42" spans="1:28">
      <c r="A42" t="s">
        <v>142</v>
      </c>
      <c r="B42" s="1" t="s">
        <v>143</v>
      </c>
      <c r="C42" s="1" t="s">
        <v>144</v>
      </c>
      <c r="D42" s="1">
        <v>2015</v>
      </c>
      <c r="E42" s="3">
        <v>317726339</v>
      </c>
      <c r="F42" s="3" t="str" cm="1">
        <f t="array" ref="F4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2" s="1">
        <v>2468</v>
      </c>
      <c r="H42" s="1">
        <v>133</v>
      </c>
      <c r="I42" s="1">
        <v>51</v>
      </c>
      <c r="J42" s="1">
        <v>24307</v>
      </c>
      <c r="K42" s="1">
        <v>51</v>
      </c>
      <c r="L42" s="1">
        <v>12</v>
      </c>
      <c r="M42" s="1">
        <v>47</v>
      </c>
      <c r="N42" s="1">
        <v>22502</v>
      </c>
      <c r="O42" s="1">
        <v>249</v>
      </c>
      <c r="P42" s="2">
        <f>SUM(STREAMS_STATS[[#This Row],[In Spotify Playlists]],STREAMS_STATS[[#This Row],[In Apple Playlists]],STREAMS_STATS[[#This Row],[In Deezer Playlists]],STREAMS_STATS[[#This Row],[In YouTube Playlists]])</f>
        <v>49289</v>
      </c>
      <c r="Q42" s="1">
        <v>150</v>
      </c>
      <c r="R42" s="1">
        <v>-4</v>
      </c>
      <c r="S42" s="1" t="s">
        <v>75</v>
      </c>
      <c r="T42" s="1">
        <v>75</v>
      </c>
      <c r="U42" s="1">
        <v>71</v>
      </c>
      <c r="V42" s="1">
        <v>38</v>
      </c>
      <c r="W42" s="1">
        <v>73</v>
      </c>
      <c r="X42" s="1">
        <v>199</v>
      </c>
      <c r="Y42" s="5">
        <f>STREAMS_STATS[[#This Row],[Duration]]/60</f>
        <v>3.3166666666666669</v>
      </c>
      <c r="Z42" s="1">
        <v>27</v>
      </c>
      <c r="AA42" s="1">
        <v>9</v>
      </c>
      <c r="AB42" s="1">
        <v>61</v>
      </c>
    </row>
    <row r="43" spans="1:28">
      <c r="A43" t="s">
        <v>145</v>
      </c>
      <c r="B43" s="1" t="s">
        <v>81</v>
      </c>
      <c r="C43" s="1" t="s">
        <v>67</v>
      </c>
      <c r="D43" s="1">
        <v>2015</v>
      </c>
      <c r="E43" s="3">
        <v>263779030</v>
      </c>
      <c r="F43" s="3" t="str" cm="1">
        <f t="array" ref="F4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3" s="1">
        <v>1959</v>
      </c>
      <c r="H43" s="1">
        <v>340</v>
      </c>
      <c r="I43" s="1">
        <v>107</v>
      </c>
      <c r="J43" s="1">
        <v>24596</v>
      </c>
      <c r="K43" s="1">
        <v>107</v>
      </c>
      <c r="L43" s="2">
        <v>3631</v>
      </c>
      <c r="M43" s="1">
        <v>33</v>
      </c>
      <c r="N43" s="1">
        <v>7678</v>
      </c>
      <c r="O43" s="1">
        <v>140</v>
      </c>
      <c r="P43" s="2">
        <f>SUM(STREAMS_STATS[[#This Row],[In Spotify Playlists]],STREAMS_STATS[[#This Row],[In Apple Playlists]],STREAMS_STATS[[#This Row],[In Deezer Playlists]],STREAMS_STATS[[#This Row],[In YouTube Playlists]])</f>
        <v>37864</v>
      </c>
      <c r="Q43" s="1">
        <v>108</v>
      </c>
      <c r="R43" s="1">
        <v>-4</v>
      </c>
      <c r="S43" s="1" t="s">
        <v>68</v>
      </c>
      <c r="T43" s="1">
        <v>87</v>
      </c>
      <c r="U43" s="1">
        <v>60</v>
      </c>
      <c r="V43" s="1">
        <v>10</v>
      </c>
      <c r="W43" s="1">
        <v>59</v>
      </c>
      <c r="X43" s="1">
        <v>193</v>
      </c>
      <c r="Y43" s="5">
        <f>STREAMS_STATS[[#This Row],[Duration]]/60</f>
        <v>3.2166666666666668</v>
      </c>
      <c r="Z43" s="1">
        <v>5</v>
      </c>
      <c r="AA43" s="1">
        <v>8</v>
      </c>
      <c r="AB43" s="1">
        <v>54</v>
      </c>
    </row>
    <row r="44" spans="1:28">
      <c r="A44" t="s">
        <v>146</v>
      </c>
      <c r="B44" s="1" t="s">
        <v>147</v>
      </c>
      <c r="C44" s="1" t="s">
        <v>148</v>
      </c>
      <c r="D44" s="1">
        <v>2016</v>
      </c>
      <c r="E44" s="3">
        <v>211372494</v>
      </c>
      <c r="F44" s="3" t="str" cm="1">
        <f t="array" ref="F44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4" s="1">
        <v>1480</v>
      </c>
      <c r="H44" s="1">
        <v>116</v>
      </c>
      <c r="I44" s="1">
        <v>46</v>
      </c>
      <c r="J44" s="1">
        <v>7849</v>
      </c>
      <c r="K44" s="1">
        <v>18</v>
      </c>
      <c r="L44" s="1">
        <v>7</v>
      </c>
      <c r="M44" s="1">
        <v>46</v>
      </c>
      <c r="N44" s="1">
        <v>36020</v>
      </c>
      <c r="O44" s="1">
        <v>378</v>
      </c>
      <c r="P44" s="2">
        <f>SUM(STREAMS_STATS[[#This Row],[In Spotify Playlists]],STREAMS_STATS[[#This Row],[In Apple Playlists]],STREAMS_STATS[[#This Row],[In Deezer Playlists]],STREAMS_STATS[[#This Row],[In YouTube Playlists]])</f>
        <v>45356</v>
      </c>
      <c r="Q44" s="1">
        <v>86</v>
      </c>
      <c r="R44" s="1">
        <v>-13</v>
      </c>
      <c r="S44" s="1" t="s">
        <v>68</v>
      </c>
      <c r="T44" s="1">
        <v>17</v>
      </c>
      <c r="U44" s="1">
        <v>39</v>
      </c>
      <c r="V44" s="1">
        <v>11</v>
      </c>
      <c r="W44" s="1">
        <v>14</v>
      </c>
      <c r="X44" s="1">
        <v>214</v>
      </c>
      <c r="Y44" s="5">
        <f>STREAMS_STATS[[#This Row],[Duration]]/60</f>
        <v>3.5666666666666669</v>
      </c>
      <c r="Z44" s="1">
        <v>91</v>
      </c>
      <c r="AA44" s="1">
        <v>3</v>
      </c>
      <c r="AB44" s="1">
        <v>36</v>
      </c>
    </row>
    <row r="45" spans="1:28">
      <c r="A45" t="s">
        <v>149</v>
      </c>
      <c r="B45" s="1" t="s">
        <v>31</v>
      </c>
      <c r="C45" s="1" t="s">
        <v>25</v>
      </c>
      <c r="D45" s="1">
        <v>2019</v>
      </c>
      <c r="E45" s="3">
        <v>2303033973</v>
      </c>
      <c r="F45" s="3" t="str" cm="1">
        <f t="array" ref="F45">_xlfn.IFS(STREAMS_STATS[[#This Row],[Streams]] &gt;= 1000000000, "1B+", STREAMS_STATS[[#This Row],[Streams]] &gt;= 500000000, "500M–1B", STREAMS_STATS[[#This Row],[Streams]] &gt;= 250000000, "250M–500M", TRUE, "Under 250M")</f>
        <v>1B+</v>
      </c>
      <c r="G45" s="1">
        <v>33206</v>
      </c>
      <c r="H45" s="1">
        <v>3</v>
      </c>
      <c r="I45" s="1">
        <v>159</v>
      </c>
      <c r="J45" s="1">
        <v>36977</v>
      </c>
      <c r="K45" s="1">
        <v>159</v>
      </c>
      <c r="L45" s="2">
        <v>2179</v>
      </c>
      <c r="M45" s="1">
        <v>36</v>
      </c>
      <c r="N45" s="1">
        <v>18353</v>
      </c>
      <c r="O45" s="1">
        <v>282</v>
      </c>
      <c r="P45" s="2">
        <f>SUM(STREAMS_STATS[[#This Row],[In Spotify Playlists]],STREAMS_STATS[[#This Row],[In Apple Playlists]],STREAMS_STATS[[#This Row],[In Deezer Playlists]],STREAMS_STATS[[#This Row],[In YouTube Playlists]])</f>
        <v>90715</v>
      </c>
      <c r="Q45" s="1">
        <v>93</v>
      </c>
      <c r="R45" s="1">
        <v>-8</v>
      </c>
      <c r="S45" s="1" t="s">
        <v>68</v>
      </c>
      <c r="T45" s="1">
        <v>65</v>
      </c>
      <c r="U45" s="1">
        <v>64</v>
      </c>
      <c r="V45" s="1">
        <v>8</v>
      </c>
      <c r="W45" s="1">
        <v>55</v>
      </c>
      <c r="X45" s="1">
        <v>198</v>
      </c>
      <c r="Y45" s="5">
        <f>STREAMS_STATS[[#This Row],[Duration]]/60</f>
        <v>3.3</v>
      </c>
      <c r="Z45" s="1">
        <v>12</v>
      </c>
      <c r="AA45" s="1">
        <v>19</v>
      </c>
      <c r="AB45" s="1">
        <v>86</v>
      </c>
    </row>
    <row r="46" spans="1:28">
      <c r="A46" t="s">
        <v>150</v>
      </c>
      <c r="B46" s="1" t="s">
        <v>37</v>
      </c>
      <c r="C46" s="1" t="s">
        <v>134</v>
      </c>
      <c r="D46" s="1">
        <v>2012</v>
      </c>
      <c r="E46" s="3">
        <v>681583126</v>
      </c>
      <c r="F46" s="3" t="str" cm="1">
        <f t="array" ref="F4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6" s="1">
        <v>5730</v>
      </c>
      <c r="H46" s="1">
        <v>201</v>
      </c>
      <c r="I46" s="1">
        <v>7</v>
      </c>
      <c r="J46" s="1">
        <v>21448</v>
      </c>
      <c r="K46" s="1">
        <v>51</v>
      </c>
      <c r="L46" s="1">
        <v>6854</v>
      </c>
      <c r="M46" s="1">
        <v>192</v>
      </c>
      <c r="N46" s="1">
        <v>25528</v>
      </c>
      <c r="O46" s="1">
        <v>116</v>
      </c>
      <c r="P46" s="2">
        <f>SUM(STREAMS_STATS[[#This Row],[In Spotify Playlists]],STREAMS_STATS[[#This Row],[In Apple Playlists]],STREAMS_STATS[[#This Row],[In Deezer Playlists]],STREAMS_STATS[[#This Row],[In YouTube Playlists]])</f>
        <v>59560</v>
      </c>
      <c r="Q46" s="1">
        <v>128</v>
      </c>
      <c r="R46" s="1">
        <v>-5</v>
      </c>
      <c r="S46" s="1" t="s">
        <v>68</v>
      </c>
      <c r="T46" s="1">
        <v>84</v>
      </c>
      <c r="U46" s="1">
        <v>60</v>
      </c>
      <c r="V46" s="1">
        <v>7</v>
      </c>
      <c r="W46" s="1">
        <v>53</v>
      </c>
      <c r="X46" s="1">
        <v>228</v>
      </c>
      <c r="Y46" s="5">
        <f>STREAMS_STATS[[#This Row],[Duration]]/60</f>
        <v>3.8</v>
      </c>
      <c r="Z46" s="1">
        <v>0</v>
      </c>
      <c r="AA46" s="1">
        <v>6</v>
      </c>
      <c r="AB46" s="1">
        <v>72</v>
      </c>
    </row>
    <row r="47" spans="1:28">
      <c r="A47" t="s">
        <v>151</v>
      </c>
      <c r="B47" s="1" t="s">
        <v>37</v>
      </c>
      <c r="C47" s="1" t="s">
        <v>134</v>
      </c>
      <c r="D47" s="1">
        <v>2015</v>
      </c>
      <c r="E47" s="3">
        <v>305650299</v>
      </c>
      <c r="F47" s="3" t="str" cm="1">
        <f t="array" ref="F4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7" s="1">
        <v>2350</v>
      </c>
      <c r="H47" s="1">
        <v>383</v>
      </c>
      <c r="I47" s="1">
        <v>29</v>
      </c>
      <c r="J47" s="1">
        <v>11599</v>
      </c>
      <c r="K47" s="1">
        <v>29</v>
      </c>
      <c r="L47" s="1">
        <v>3</v>
      </c>
      <c r="M47" s="1">
        <v>32</v>
      </c>
      <c r="N47" s="1">
        <v>15913</v>
      </c>
      <c r="O47" s="1">
        <v>165</v>
      </c>
      <c r="P47" s="2">
        <f>SUM(STREAMS_STATS[[#This Row],[In Spotify Playlists]],STREAMS_STATS[[#This Row],[In Apple Playlists]],STREAMS_STATS[[#This Row],[In Deezer Playlists]],STREAMS_STATS[[#This Row],[In YouTube Playlists]])</f>
        <v>29865</v>
      </c>
      <c r="Q47" s="1">
        <v>113</v>
      </c>
      <c r="R47" s="1">
        <v>-6</v>
      </c>
      <c r="S47" s="1" t="s">
        <v>75</v>
      </c>
      <c r="T47" s="1">
        <v>78</v>
      </c>
      <c r="U47" s="1">
        <v>74</v>
      </c>
      <c r="V47" s="1">
        <v>32</v>
      </c>
      <c r="W47" s="1">
        <v>86</v>
      </c>
      <c r="X47" s="1">
        <v>199</v>
      </c>
      <c r="Y47" s="5">
        <f>STREAMS_STATS[[#This Row],[Duration]]/60</f>
        <v>3.3166666666666669</v>
      </c>
      <c r="Z47" s="1">
        <v>2</v>
      </c>
      <c r="AA47" s="1">
        <v>7</v>
      </c>
      <c r="AB47" s="1">
        <v>60</v>
      </c>
    </row>
    <row r="48" spans="1:28">
      <c r="A48" t="s">
        <v>152</v>
      </c>
      <c r="B48" s="1" t="s">
        <v>153</v>
      </c>
      <c r="C48" s="1" t="s">
        <v>154</v>
      </c>
      <c r="D48" s="1">
        <v>2016</v>
      </c>
      <c r="E48" s="3">
        <v>200647221</v>
      </c>
      <c r="F48" s="3" t="str" cm="1">
        <f t="array" ref="F4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8" s="1">
        <v>1379</v>
      </c>
      <c r="H48" s="1">
        <v>244</v>
      </c>
      <c r="I48" s="1">
        <v>8</v>
      </c>
      <c r="J48" s="1">
        <v>25479</v>
      </c>
      <c r="K48" s="1">
        <v>8</v>
      </c>
      <c r="L48" s="1">
        <v>104</v>
      </c>
      <c r="M48" s="1">
        <v>32</v>
      </c>
      <c r="N48" s="1">
        <v>16798</v>
      </c>
      <c r="O48" s="1">
        <v>58</v>
      </c>
      <c r="P48" s="2">
        <f>SUM(STREAMS_STATS[[#This Row],[In Spotify Playlists]],STREAMS_STATS[[#This Row],[In Apple Playlists]],STREAMS_STATS[[#This Row],[In Deezer Playlists]],STREAMS_STATS[[#This Row],[In YouTube Playlists]])</f>
        <v>43760</v>
      </c>
      <c r="Q48" s="1">
        <v>98</v>
      </c>
      <c r="R48" s="1">
        <v>-10</v>
      </c>
      <c r="S48" s="1" t="s">
        <v>68</v>
      </c>
      <c r="T48" s="1">
        <v>47</v>
      </c>
      <c r="U48" s="1">
        <v>80</v>
      </c>
      <c r="V48" s="1">
        <v>7</v>
      </c>
      <c r="W48" s="1">
        <v>69</v>
      </c>
      <c r="X48" s="1">
        <v>228</v>
      </c>
      <c r="Y48" s="5">
        <f>STREAMS_STATS[[#This Row],[Duration]]/60</f>
        <v>3.8</v>
      </c>
      <c r="Z48" s="1">
        <v>25</v>
      </c>
      <c r="AA48" s="1">
        <v>4</v>
      </c>
      <c r="AB48" s="1">
        <v>18</v>
      </c>
    </row>
    <row r="49" spans="1:28">
      <c r="A49" t="s">
        <v>155</v>
      </c>
      <c r="B49" s="1" t="s">
        <v>156</v>
      </c>
      <c r="C49" s="1" t="s">
        <v>25</v>
      </c>
      <c r="D49" s="1">
        <v>2013</v>
      </c>
      <c r="E49" s="3">
        <v>566954746</v>
      </c>
      <c r="F49" s="3" t="str" cm="1">
        <f t="array" ref="F4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9" s="1">
        <v>4576</v>
      </c>
      <c r="H49" s="1">
        <v>128</v>
      </c>
      <c r="I49" s="1">
        <v>56</v>
      </c>
      <c r="J49" s="1">
        <v>29419</v>
      </c>
      <c r="K49" s="1">
        <v>56</v>
      </c>
      <c r="L49" s="1">
        <v>17</v>
      </c>
      <c r="M49" s="1">
        <v>39</v>
      </c>
      <c r="N49" s="1">
        <v>18929</v>
      </c>
      <c r="O49" s="1">
        <v>238</v>
      </c>
      <c r="P49" s="2">
        <f>SUM(STREAMS_STATS[[#This Row],[In Spotify Playlists]],STREAMS_STATS[[#This Row],[In Apple Playlists]],STREAMS_STATS[[#This Row],[In Deezer Playlists]],STREAMS_STATS[[#This Row],[In YouTube Playlists]])</f>
        <v>52941</v>
      </c>
      <c r="Q49" s="1">
        <v>84</v>
      </c>
      <c r="R49" s="1">
        <v>-6</v>
      </c>
      <c r="S49" s="1" t="s">
        <v>75</v>
      </c>
      <c r="T49" s="1">
        <v>52</v>
      </c>
      <c r="U49" s="1">
        <v>56</v>
      </c>
      <c r="V49" s="1">
        <v>10</v>
      </c>
      <c r="W49" s="1">
        <v>23</v>
      </c>
      <c r="X49" s="1">
        <v>272</v>
      </c>
      <c r="Y49" s="5">
        <f>STREAMS_STATS[[#This Row],[Duration]]/60</f>
        <v>4.5333333333333332</v>
      </c>
      <c r="Z49" s="1">
        <v>23</v>
      </c>
      <c r="AA49" s="1">
        <v>4</v>
      </c>
      <c r="AB49" s="1">
        <v>70</v>
      </c>
    </row>
    <row r="50" spans="1:28">
      <c r="A50" t="s">
        <v>157</v>
      </c>
      <c r="B50" s="1" t="s">
        <v>158</v>
      </c>
      <c r="C50" s="1" t="s">
        <v>159</v>
      </c>
      <c r="D50" s="1">
        <v>2013</v>
      </c>
      <c r="E50" s="3">
        <v>725980112</v>
      </c>
      <c r="F50" s="3" t="str" cm="1">
        <f t="array" ref="F5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0" s="1">
        <v>6392</v>
      </c>
      <c r="H50" s="1">
        <v>294</v>
      </c>
      <c r="I50" s="1">
        <v>18</v>
      </c>
      <c r="J50" s="1">
        <v>7159</v>
      </c>
      <c r="K50" s="1">
        <v>18</v>
      </c>
      <c r="L50" s="1">
        <v>6</v>
      </c>
      <c r="M50" s="1">
        <v>44</v>
      </c>
      <c r="N50" s="1">
        <v>22204</v>
      </c>
      <c r="O50" s="1">
        <v>259</v>
      </c>
      <c r="P50" s="2">
        <f>SUM(STREAMS_STATS[[#This Row],[In Spotify Playlists]],STREAMS_STATS[[#This Row],[In Apple Playlists]],STREAMS_STATS[[#This Row],[In Deezer Playlists]],STREAMS_STATS[[#This Row],[In YouTube Playlists]])</f>
        <v>35761</v>
      </c>
      <c r="Q50" s="1">
        <v>118</v>
      </c>
      <c r="R50" s="1">
        <v>-3</v>
      </c>
      <c r="S50" s="1" t="s">
        <v>75</v>
      </c>
      <c r="T50" s="1">
        <v>88</v>
      </c>
      <c r="U50" s="1">
        <v>65</v>
      </c>
      <c r="V50" s="1">
        <v>8</v>
      </c>
      <c r="W50" s="1">
        <v>49</v>
      </c>
      <c r="X50" s="1">
        <v>200</v>
      </c>
      <c r="Y50" s="5">
        <f>STREAMS_STATS[[#This Row],[Duration]]/60</f>
        <v>3.3333333333333335</v>
      </c>
      <c r="Z50" s="1">
        <v>2</v>
      </c>
      <c r="AA50" s="1">
        <v>5</v>
      </c>
      <c r="AB50" s="1">
        <v>73</v>
      </c>
    </row>
    <row r="51" spans="1:28">
      <c r="A51" t="s">
        <v>160</v>
      </c>
      <c r="B51" s="1" t="s">
        <v>69</v>
      </c>
      <c r="C51" s="1" t="s">
        <v>67</v>
      </c>
      <c r="D51" s="1">
        <v>2011</v>
      </c>
      <c r="E51" s="3">
        <v>743693613</v>
      </c>
      <c r="F51" s="3" t="str" cm="1">
        <f t="array" ref="F5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1" s="1">
        <v>6556</v>
      </c>
      <c r="H51" s="1">
        <v>371</v>
      </c>
      <c r="I51" s="1">
        <v>496</v>
      </c>
      <c r="J51" s="1">
        <v>10913</v>
      </c>
      <c r="K51" s="1">
        <v>78</v>
      </c>
      <c r="L51" s="1">
        <v>1161</v>
      </c>
      <c r="M51" s="1">
        <v>173</v>
      </c>
      <c r="N51" s="1">
        <v>9990</v>
      </c>
      <c r="O51" s="1">
        <v>202</v>
      </c>
      <c r="P51" s="2">
        <f>SUM(STREAMS_STATS[[#This Row],[In Spotify Playlists]],STREAMS_STATS[[#This Row],[In Apple Playlists]],STREAMS_STATS[[#This Row],[In Deezer Playlists]],STREAMS_STATS[[#This Row],[In YouTube Playlists]])</f>
        <v>28620</v>
      </c>
      <c r="Q51" s="1">
        <v>99</v>
      </c>
      <c r="R51" s="1">
        <v>-4</v>
      </c>
      <c r="S51" s="1" t="s">
        <v>68</v>
      </c>
      <c r="T51" s="1">
        <v>65</v>
      </c>
      <c r="U51" s="1">
        <v>55</v>
      </c>
      <c r="V51" s="1">
        <v>9</v>
      </c>
      <c r="W51" s="1">
        <v>30</v>
      </c>
      <c r="X51" s="1">
        <v>254</v>
      </c>
      <c r="Y51" s="5">
        <f>STREAMS_STATS[[#This Row],[Duration]]/60</f>
        <v>4.2333333333333334</v>
      </c>
      <c r="Z51" s="1">
        <v>14</v>
      </c>
      <c r="AA51" s="1">
        <v>3</v>
      </c>
      <c r="AB51" s="1">
        <v>73</v>
      </c>
    </row>
    <row r="52" spans="1:28">
      <c r="A52" t="s">
        <v>161</v>
      </c>
      <c r="B52" s="1" t="s">
        <v>162</v>
      </c>
      <c r="C52" s="1" t="s">
        <v>67</v>
      </c>
      <c r="D52" s="1">
        <v>2014</v>
      </c>
      <c r="E52" s="3">
        <v>380726517</v>
      </c>
      <c r="F52" s="3" t="str" cm="1">
        <f t="array" ref="F5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2" s="1">
        <v>2979</v>
      </c>
      <c r="H52" s="1">
        <v>137</v>
      </c>
      <c r="I52" s="1">
        <v>18</v>
      </c>
      <c r="J52" s="1">
        <v>23929</v>
      </c>
      <c r="K52" s="1">
        <v>72</v>
      </c>
      <c r="L52" s="1">
        <v>49</v>
      </c>
      <c r="M52" s="1">
        <v>9</v>
      </c>
      <c r="N52" s="1">
        <v>4930</v>
      </c>
      <c r="O52" s="1">
        <v>379</v>
      </c>
      <c r="P52" s="2">
        <f>SUM(STREAMS_STATS[[#This Row],[In Spotify Playlists]],STREAMS_STATS[[#This Row],[In Apple Playlists]],STREAMS_STATS[[#This Row],[In Deezer Playlists]],STREAMS_STATS[[#This Row],[In YouTube Playlists]])</f>
        <v>31887</v>
      </c>
      <c r="Q52" s="1">
        <v>126</v>
      </c>
      <c r="R52" s="1">
        <v>-5</v>
      </c>
      <c r="S52" s="1" t="s">
        <v>75</v>
      </c>
      <c r="T52" s="1">
        <v>67</v>
      </c>
      <c r="U52" s="1">
        <v>72</v>
      </c>
      <c r="V52" s="1">
        <v>11</v>
      </c>
      <c r="W52" s="1">
        <v>84</v>
      </c>
      <c r="X52" s="1">
        <v>215</v>
      </c>
      <c r="Y52" s="5">
        <f>STREAMS_STATS[[#This Row],[Duration]]/60</f>
        <v>3.5833333333333335</v>
      </c>
      <c r="Z52" s="1">
        <v>9</v>
      </c>
      <c r="AA52" s="1">
        <v>7</v>
      </c>
      <c r="AB52" s="1">
        <v>65</v>
      </c>
    </row>
    <row r="53" spans="1:28">
      <c r="A53" t="s">
        <v>163</v>
      </c>
      <c r="B53" s="1" t="s">
        <v>164</v>
      </c>
      <c r="C53" s="1" t="s">
        <v>67</v>
      </c>
      <c r="D53" s="1">
        <v>2010</v>
      </c>
      <c r="E53" s="3">
        <v>338422004</v>
      </c>
      <c r="F53" s="3" t="str" cm="1">
        <f t="array" ref="F5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3" s="1">
        <v>2605</v>
      </c>
      <c r="H53" s="1">
        <v>132</v>
      </c>
      <c r="I53" s="1">
        <v>383</v>
      </c>
      <c r="J53" s="1">
        <v>24647</v>
      </c>
      <c r="K53" s="1">
        <v>71</v>
      </c>
      <c r="L53" s="1">
        <v>8511</v>
      </c>
      <c r="M53" s="1">
        <v>156</v>
      </c>
      <c r="N53" s="1">
        <v>17025</v>
      </c>
      <c r="O53" s="1">
        <v>336</v>
      </c>
      <c r="P53" s="2">
        <f>SUM(STREAMS_STATS[[#This Row],[In Spotify Playlists]],STREAMS_STATS[[#This Row],[In Apple Playlists]],STREAMS_STATS[[#This Row],[In Deezer Playlists]],STREAMS_STATS[[#This Row],[In YouTube Playlists]])</f>
        <v>52788</v>
      </c>
      <c r="Q53" s="1">
        <v>120</v>
      </c>
      <c r="R53" s="1">
        <v>-3</v>
      </c>
      <c r="S53" s="1" t="s">
        <v>75</v>
      </c>
      <c r="T53" s="1">
        <v>84</v>
      </c>
      <c r="U53" s="1">
        <v>75</v>
      </c>
      <c r="V53" s="1">
        <v>42</v>
      </c>
      <c r="W53" s="1">
        <v>52</v>
      </c>
      <c r="X53" s="1">
        <v>172</v>
      </c>
      <c r="Y53" s="5">
        <f>STREAMS_STATS[[#This Row],[Duration]]/60</f>
        <v>2.8666666666666667</v>
      </c>
      <c r="Z53" s="1">
        <v>8</v>
      </c>
      <c r="AA53" s="1">
        <v>12</v>
      </c>
      <c r="AB53" s="1">
        <v>62</v>
      </c>
    </row>
    <row r="54" spans="1:28">
      <c r="A54" t="s">
        <v>165</v>
      </c>
      <c r="B54" s="1" t="s">
        <v>34</v>
      </c>
      <c r="C54" s="1" t="s">
        <v>67</v>
      </c>
      <c r="D54" s="1">
        <v>2015</v>
      </c>
      <c r="E54" s="3">
        <v>951637566</v>
      </c>
      <c r="F54" s="3" t="str" cm="1">
        <f t="array" ref="F5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4" s="1">
        <v>8528</v>
      </c>
      <c r="H54" s="1">
        <v>68</v>
      </c>
      <c r="I54" s="1">
        <v>16</v>
      </c>
      <c r="J54" s="1">
        <v>14263</v>
      </c>
      <c r="K54" s="1">
        <v>90</v>
      </c>
      <c r="L54" s="1">
        <v>1016</v>
      </c>
      <c r="M54" s="1">
        <v>38</v>
      </c>
      <c r="N54" s="1">
        <v>24996</v>
      </c>
      <c r="O54" s="1">
        <v>214</v>
      </c>
      <c r="P54" s="2">
        <f>SUM(STREAMS_STATS[[#This Row],[In Spotify Playlists]],STREAMS_STATS[[#This Row],[In Apple Playlists]],STREAMS_STATS[[#This Row],[In Deezer Playlists]],STREAMS_STATS[[#This Row],[In YouTube Playlists]])</f>
        <v>48803</v>
      </c>
      <c r="Q54" s="1">
        <v>128</v>
      </c>
      <c r="R54" s="1">
        <v>-4</v>
      </c>
      <c r="S54" s="1" t="s">
        <v>75</v>
      </c>
      <c r="T54" s="1">
        <v>86</v>
      </c>
      <c r="U54" s="1">
        <v>41</v>
      </c>
      <c r="V54" s="1">
        <v>34</v>
      </c>
      <c r="W54" s="1">
        <v>35</v>
      </c>
      <c r="X54" s="1">
        <v>213</v>
      </c>
      <c r="Y54" s="5">
        <f>STREAMS_STATS[[#This Row],[Duration]]/60</f>
        <v>3.55</v>
      </c>
      <c r="Z54" s="1">
        <v>3</v>
      </c>
      <c r="AA54" s="1">
        <v>8</v>
      </c>
      <c r="AB54" s="1">
        <v>76</v>
      </c>
    </row>
    <row r="55" spans="1:28">
      <c r="A55" t="s">
        <v>166</v>
      </c>
      <c r="B55" s="1" t="s">
        <v>31</v>
      </c>
      <c r="C55" s="1" t="s">
        <v>25</v>
      </c>
      <c r="D55" s="1">
        <v>2015</v>
      </c>
      <c r="E55" s="3">
        <v>248088961</v>
      </c>
      <c r="F55" s="3" t="str" cm="1">
        <f t="array" ref="F55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5" s="1">
        <v>1856</v>
      </c>
      <c r="H55" s="1">
        <v>240</v>
      </c>
      <c r="I55" s="1">
        <v>30</v>
      </c>
      <c r="J55" s="1">
        <v>14909</v>
      </c>
      <c r="K55" s="1">
        <v>30</v>
      </c>
      <c r="L55" s="1">
        <v>13</v>
      </c>
      <c r="M55" s="1">
        <v>1</v>
      </c>
      <c r="N55" s="1">
        <v>38297</v>
      </c>
      <c r="O55" s="1">
        <v>298</v>
      </c>
      <c r="P55" s="2">
        <f>SUM(STREAMS_STATS[[#This Row],[In Spotify Playlists]],STREAMS_STATS[[#This Row],[In Apple Playlists]],STREAMS_STATS[[#This Row],[In Deezer Playlists]],STREAMS_STATS[[#This Row],[In YouTube Playlists]])</f>
        <v>55075</v>
      </c>
      <c r="Q55" s="1">
        <v>89</v>
      </c>
      <c r="R55" s="1">
        <v>-6</v>
      </c>
      <c r="S55" s="1" t="s">
        <v>68</v>
      </c>
      <c r="T55" s="1">
        <v>59</v>
      </c>
      <c r="U55" s="1">
        <v>48</v>
      </c>
      <c r="V55" s="1">
        <v>6</v>
      </c>
      <c r="W55" s="1">
        <v>27</v>
      </c>
      <c r="X55" s="1">
        <v>309</v>
      </c>
      <c r="Y55" s="5">
        <f>STREAMS_STATS[[#This Row],[Duration]]/60</f>
        <v>5.15</v>
      </c>
      <c r="Z55" s="1">
        <v>20</v>
      </c>
      <c r="AA55" s="1">
        <v>5</v>
      </c>
      <c r="AB55" s="1">
        <v>52</v>
      </c>
    </row>
    <row r="56" spans="1:28">
      <c r="A56" t="s">
        <v>167</v>
      </c>
      <c r="B56" s="1" t="s">
        <v>164</v>
      </c>
      <c r="C56" s="1" t="s">
        <v>67</v>
      </c>
      <c r="D56" s="1">
        <v>2011</v>
      </c>
      <c r="E56" s="3">
        <v>363472647</v>
      </c>
      <c r="F56" s="3" t="str" cm="1">
        <f t="array" ref="F5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" s="1">
        <v>2849</v>
      </c>
      <c r="H56" s="1">
        <v>413</v>
      </c>
      <c r="I56" s="1">
        <v>119</v>
      </c>
      <c r="J56" s="1">
        <v>34302</v>
      </c>
      <c r="K56" s="1">
        <v>80</v>
      </c>
      <c r="L56" s="1">
        <v>9891</v>
      </c>
      <c r="M56" s="1">
        <v>128</v>
      </c>
      <c r="N56" s="1">
        <v>2867</v>
      </c>
      <c r="O56" s="1">
        <v>153</v>
      </c>
      <c r="P56" s="2">
        <f>SUM(STREAMS_STATS[[#This Row],[In Spotify Playlists]],STREAMS_STATS[[#This Row],[In Apple Playlists]],STREAMS_STATS[[#This Row],[In Deezer Playlists]],STREAMS_STATS[[#This Row],[In YouTube Playlists]])</f>
        <v>49909</v>
      </c>
      <c r="Q56" s="1">
        <v>120</v>
      </c>
      <c r="R56" s="1">
        <v>-4</v>
      </c>
      <c r="S56" s="1" t="s">
        <v>75</v>
      </c>
      <c r="T56" s="1">
        <v>73</v>
      </c>
      <c r="U56" s="1">
        <v>75</v>
      </c>
      <c r="V56" s="1">
        <v>7</v>
      </c>
      <c r="W56" s="1">
        <v>81</v>
      </c>
      <c r="X56" s="1">
        <v>220</v>
      </c>
      <c r="Y56" s="5">
        <f>STREAMS_STATS[[#This Row],[Duration]]/60</f>
        <v>3.6666666666666665</v>
      </c>
      <c r="Z56" s="1">
        <v>0</v>
      </c>
      <c r="AA56" s="1">
        <v>4</v>
      </c>
      <c r="AB56" s="1">
        <v>64</v>
      </c>
    </row>
    <row r="57" spans="1:28">
      <c r="A57" t="s">
        <v>168</v>
      </c>
      <c r="B57" s="1" t="s">
        <v>169</v>
      </c>
      <c r="C57" s="1" t="s">
        <v>67</v>
      </c>
      <c r="D57" s="1">
        <v>2012</v>
      </c>
      <c r="E57" s="3">
        <v>2000</v>
      </c>
      <c r="F57" s="3" t="str" cm="1">
        <f t="array" ref="F5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7" s="1">
        <v>1367</v>
      </c>
      <c r="H57" s="1">
        <v>139</v>
      </c>
      <c r="I57" s="1">
        <v>433</v>
      </c>
      <c r="J57" s="1">
        <v>36988</v>
      </c>
      <c r="K57" s="1">
        <v>59</v>
      </c>
      <c r="L57" s="1">
        <v>2485</v>
      </c>
      <c r="M57" s="1">
        <v>138</v>
      </c>
      <c r="N57" s="1">
        <v>25675</v>
      </c>
      <c r="O57" s="1">
        <v>284</v>
      </c>
      <c r="P57" s="2">
        <f>SUM(STREAMS_STATS[[#This Row],[In Spotify Playlists]],STREAMS_STATS[[#This Row],[In Apple Playlists]],STREAMS_STATS[[#This Row],[In Deezer Playlists]],STREAMS_STATS[[#This Row],[In YouTube Playlists]])</f>
        <v>66515</v>
      </c>
      <c r="Q57" s="1">
        <v>114</v>
      </c>
      <c r="R57" s="1">
        <v>-3</v>
      </c>
      <c r="S57" s="1" t="s">
        <v>75</v>
      </c>
      <c r="T57" s="1">
        <v>92</v>
      </c>
      <c r="U57" s="1">
        <v>60</v>
      </c>
      <c r="V57" s="1">
        <v>25</v>
      </c>
      <c r="W57" s="1">
        <v>75</v>
      </c>
      <c r="X57" s="1">
        <v>256</v>
      </c>
      <c r="Y57" s="5">
        <f>STREAMS_STATS[[#This Row],[Duration]]/60</f>
        <v>4.2666666666666666</v>
      </c>
      <c r="Z57" s="1">
        <v>0</v>
      </c>
      <c r="AA57" s="1">
        <v>4</v>
      </c>
      <c r="AB57" s="1">
        <v>0</v>
      </c>
    </row>
    <row r="58" spans="1:28">
      <c r="A58" t="s">
        <v>170</v>
      </c>
      <c r="B58" s="1" t="s">
        <v>171</v>
      </c>
      <c r="C58" s="1" t="s">
        <v>67</v>
      </c>
      <c r="D58" s="1">
        <v>2016</v>
      </c>
      <c r="E58" s="3">
        <v>237351106</v>
      </c>
      <c r="F58" s="3" t="str" cm="1">
        <f t="array" ref="F5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8" s="1">
        <v>1678</v>
      </c>
      <c r="H58" s="1">
        <v>248</v>
      </c>
      <c r="I58" s="1">
        <v>5</v>
      </c>
      <c r="J58" s="1">
        <v>10531</v>
      </c>
      <c r="K58" s="1">
        <v>5</v>
      </c>
      <c r="L58" s="1">
        <v>13</v>
      </c>
      <c r="M58" s="1">
        <v>23</v>
      </c>
      <c r="N58" s="1">
        <v>9300</v>
      </c>
      <c r="O58" s="1">
        <v>345</v>
      </c>
      <c r="P58" s="2">
        <f>SUM(STREAMS_STATS[[#This Row],[In Spotify Playlists]],STREAMS_STATS[[#This Row],[In Apple Playlists]],STREAMS_STATS[[#This Row],[In Deezer Playlists]],STREAMS_STATS[[#This Row],[In YouTube Playlists]])</f>
        <v>21522</v>
      </c>
      <c r="Q58" s="1">
        <v>130</v>
      </c>
      <c r="R58" s="1">
        <v>-5</v>
      </c>
      <c r="S58" s="1" t="s">
        <v>75</v>
      </c>
      <c r="T58" s="1">
        <v>95</v>
      </c>
      <c r="U58" s="1">
        <v>63</v>
      </c>
      <c r="V58" s="1">
        <v>10</v>
      </c>
      <c r="W58" s="1">
        <v>73</v>
      </c>
      <c r="X58" s="1">
        <v>197</v>
      </c>
      <c r="Y58" s="5">
        <f>STREAMS_STATS[[#This Row],[Duration]]/60</f>
        <v>3.2833333333333332</v>
      </c>
      <c r="Z58" s="1">
        <v>0</v>
      </c>
      <c r="AA58" s="1">
        <v>4</v>
      </c>
      <c r="AB58" s="1">
        <v>48</v>
      </c>
    </row>
    <row r="59" spans="1:28">
      <c r="A59" t="s">
        <v>172</v>
      </c>
      <c r="B59" s="1" t="s">
        <v>173</v>
      </c>
      <c r="C59" s="1" t="s">
        <v>67</v>
      </c>
      <c r="D59" s="1">
        <v>2013</v>
      </c>
      <c r="E59" s="3">
        <v>983637508</v>
      </c>
      <c r="F59" s="3" t="str" cm="1">
        <f t="array" ref="F5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9" s="1">
        <v>8737</v>
      </c>
      <c r="H59" s="1">
        <v>94</v>
      </c>
      <c r="I59" s="1">
        <v>21</v>
      </c>
      <c r="J59" s="1">
        <v>5639</v>
      </c>
      <c r="K59" s="1">
        <v>21</v>
      </c>
      <c r="L59" s="1">
        <v>14</v>
      </c>
      <c r="M59" s="1">
        <v>24</v>
      </c>
      <c r="N59" s="1">
        <v>8951</v>
      </c>
      <c r="O59" s="1">
        <v>218</v>
      </c>
      <c r="P59" s="2">
        <f>SUM(STREAMS_STATS[[#This Row],[In Spotify Playlists]],STREAMS_STATS[[#This Row],[In Apple Playlists]],STREAMS_STATS[[#This Row],[In Deezer Playlists]],STREAMS_STATS[[#This Row],[In YouTube Playlists]])</f>
        <v>23341</v>
      </c>
      <c r="Q59" s="1">
        <v>120</v>
      </c>
      <c r="R59" s="1">
        <v>-5</v>
      </c>
      <c r="S59" s="1" t="s">
        <v>75</v>
      </c>
      <c r="T59" s="1">
        <v>60</v>
      </c>
      <c r="U59" s="1">
        <v>85</v>
      </c>
      <c r="V59" s="1">
        <v>8</v>
      </c>
      <c r="W59" s="1">
        <v>84</v>
      </c>
      <c r="X59" s="1">
        <v>264</v>
      </c>
      <c r="Y59" s="5">
        <f>STREAMS_STATS[[#This Row],[Duration]]/60</f>
        <v>4.4000000000000004</v>
      </c>
      <c r="Z59" s="1">
        <v>0</v>
      </c>
      <c r="AA59" s="1">
        <v>4</v>
      </c>
      <c r="AB59" s="1">
        <v>76</v>
      </c>
    </row>
    <row r="60" spans="1:28">
      <c r="A60" t="s">
        <v>174</v>
      </c>
      <c r="B60" s="1" t="s">
        <v>119</v>
      </c>
      <c r="C60" s="1" t="s">
        <v>67</v>
      </c>
      <c r="D60" s="1">
        <v>2015</v>
      </c>
      <c r="E60" s="3">
        <v>408843328</v>
      </c>
      <c r="F60" s="3" t="str" cm="1">
        <f t="array" ref="F6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0" s="1">
        <v>3242</v>
      </c>
      <c r="H60" s="1">
        <v>116</v>
      </c>
      <c r="I60" s="1">
        <v>41</v>
      </c>
      <c r="J60" s="1">
        <v>35145</v>
      </c>
      <c r="K60" s="1">
        <v>59</v>
      </c>
      <c r="L60" s="1">
        <v>10</v>
      </c>
      <c r="M60" s="1">
        <v>5</v>
      </c>
      <c r="N60" s="1">
        <v>26128</v>
      </c>
      <c r="O60" s="1">
        <v>298</v>
      </c>
      <c r="P60" s="2">
        <f>SUM(STREAMS_STATS[[#This Row],[In Spotify Playlists]],STREAMS_STATS[[#This Row],[In Apple Playlists]],STREAMS_STATS[[#This Row],[In Deezer Playlists]],STREAMS_STATS[[#This Row],[In YouTube Playlists]])</f>
        <v>64525</v>
      </c>
      <c r="Q60" s="1">
        <v>103</v>
      </c>
      <c r="R60" s="1">
        <v>-5</v>
      </c>
      <c r="S60" s="1" t="s">
        <v>68</v>
      </c>
      <c r="T60" s="1">
        <v>87</v>
      </c>
      <c r="U60" s="1">
        <v>81</v>
      </c>
      <c r="V60" s="1">
        <v>5</v>
      </c>
      <c r="W60" s="1">
        <v>74</v>
      </c>
      <c r="X60" s="1">
        <v>171</v>
      </c>
      <c r="Y60" s="5">
        <f>STREAMS_STATS[[#This Row],[Duration]]/60</f>
        <v>2.85</v>
      </c>
      <c r="Z60" s="1">
        <v>1</v>
      </c>
      <c r="AA60" s="1">
        <v>11</v>
      </c>
      <c r="AB60" s="1">
        <v>66</v>
      </c>
    </row>
    <row r="61" spans="1:28">
      <c r="A61" t="s">
        <v>175</v>
      </c>
      <c r="B61" s="1" t="s">
        <v>176</v>
      </c>
      <c r="C61" s="1" t="s">
        <v>25</v>
      </c>
      <c r="D61" s="1">
        <v>2017</v>
      </c>
      <c r="E61" s="3">
        <v>540654286</v>
      </c>
      <c r="F61" s="3" t="str" cm="1">
        <f t="array" ref="F6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61" s="1">
        <v>4431</v>
      </c>
      <c r="H61" s="1">
        <v>400</v>
      </c>
      <c r="I61" s="1">
        <v>3</v>
      </c>
      <c r="J61" s="1">
        <v>18992</v>
      </c>
      <c r="K61" s="1">
        <v>92</v>
      </c>
      <c r="L61" s="1">
        <v>107</v>
      </c>
      <c r="M61" s="1">
        <v>2</v>
      </c>
      <c r="N61" s="1">
        <v>4441</v>
      </c>
      <c r="O61" s="1">
        <v>331</v>
      </c>
      <c r="P61" s="2">
        <f>SUM(STREAMS_STATS[[#This Row],[In Spotify Playlists]],STREAMS_STATS[[#This Row],[In Apple Playlists]],STREAMS_STATS[[#This Row],[In Deezer Playlists]],STREAMS_STATS[[#This Row],[In YouTube Playlists]])</f>
        <v>27971</v>
      </c>
      <c r="Q61" s="1">
        <v>125</v>
      </c>
      <c r="R61" s="1">
        <v>-6</v>
      </c>
      <c r="S61" s="1" t="s">
        <v>68</v>
      </c>
      <c r="T61" s="1">
        <v>72</v>
      </c>
      <c r="U61" s="1">
        <v>93</v>
      </c>
      <c r="V61" s="1">
        <v>35</v>
      </c>
      <c r="W61" s="1">
        <v>46</v>
      </c>
      <c r="X61" s="1">
        <v>224</v>
      </c>
      <c r="Y61" s="5">
        <f>STREAMS_STATS[[#This Row],[Duration]]/60</f>
        <v>3.7333333333333334</v>
      </c>
      <c r="Z61" s="1">
        <v>7</v>
      </c>
      <c r="AA61" s="1">
        <v>11</v>
      </c>
      <c r="AB61" s="1">
        <v>70</v>
      </c>
    </row>
    <row r="62" spans="1:28">
      <c r="A62" t="s">
        <v>177</v>
      </c>
      <c r="B62" s="1" t="s">
        <v>171</v>
      </c>
      <c r="C62" s="1" t="s">
        <v>67</v>
      </c>
      <c r="D62" s="1">
        <v>2017</v>
      </c>
      <c r="E62" s="3">
        <v>330346424</v>
      </c>
      <c r="F62" s="3" t="str" cm="1">
        <f t="array" ref="F6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2" s="1">
        <v>2566</v>
      </c>
      <c r="H62" s="1">
        <v>392</v>
      </c>
      <c r="I62" s="1">
        <v>77</v>
      </c>
      <c r="J62" s="1">
        <v>15748</v>
      </c>
      <c r="K62" s="1">
        <v>77</v>
      </c>
      <c r="L62" s="1">
        <v>61</v>
      </c>
      <c r="M62" s="1">
        <v>43</v>
      </c>
      <c r="N62" s="1">
        <v>34445</v>
      </c>
      <c r="O62" s="1">
        <v>96</v>
      </c>
      <c r="P62" s="2">
        <f>SUM(STREAMS_STATS[[#This Row],[In Spotify Playlists]],STREAMS_STATS[[#This Row],[In Apple Playlists]],STREAMS_STATS[[#This Row],[In Deezer Playlists]],STREAMS_STATS[[#This Row],[In YouTube Playlists]])</f>
        <v>52820</v>
      </c>
      <c r="Q62" s="1">
        <v>102</v>
      </c>
      <c r="R62" s="1">
        <v>-5</v>
      </c>
      <c r="S62" s="1" t="s">
        <v>68</v>
      </c>
      <c r="T62" s="1">
        <v>69</v>
      </c>
      <c r="U62" s="1">
        <v>65</v>
      </c>
      <c r="V62" s="1">
        <v>4</v>
      </c>
      <c r="W62" s="1">
        <v>86</v>
      </c>
      <c r="X62" s="1">
        <v>236</v>
      </c>
      <c r="Y62" s="5">
        <f>STREAMS_STATS[[#This Row],[Duration]]/60</f>
        <v>3.9333333333333331</v>
      </c>
      <c r="Z62" s="1">
        <v>0</v>
      </c>
      <c r="AA62" s="1">
        <v>4</v>
      </c>
      <c r="AB62" s="1">
        <v>62</v>
      </c>
    </row>
    <row r="63" spans="1:28">
      <c r="A63" t="s">
        <v>178</v>
      </c>
      <c r="B63" s="1" t="s">
        <v>179</v>
      </c>
      <c r="C63" s="1" t="s">
        <v>67</v>
      </c>
      <c r="D63" s="1">
        <v>2016</v>
      </c>
      <c r="E63" s="3">
        <v>372476382</v>
      </c>
      <c r="F63" s="3" t="str" cm="1">
        <f t="array" ref="F6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3" s="1">
        <v>2942</v>
      </c>
      <c r="H63" s="1">
        <v>164</v>
      </c>
      <c r="I63" s="1">
        <v>90</v>
      </c>
      <c r="J63" s="1">
        <v>20924</v>
      </c>
      <c r="K63" s="1">
        <v>90</v>
      </c>
      <c r="L63" s="1">
        <v>141</v>
      </c>
      <c r="M63" s="1">
        <v>49</v>
      </c>
      <c r="N63" s="1">
        <v>1254</v>
      </c>
      <c r="O63" s="1">
        <v>71</v>
      </c>
      <c r="P63" s="2">
        <f>SUM(STREAMS_STATS[[#This Row],[In Spotify Playlists]],STREAMS_STATS[[#This Row],[In Apple Playlists]],STREAMS_STATS[[#This Row],[In Deezer Playlists]],STREAMS_STATS[[#This Row],[In YouTube Playlists]])</f>
        <v>25261</v>
      </c>
      <c r="Q63" s="1">
        <v>87</v>
      </c>
      <c r="R63" s="1">
        <v>-5</v>
      </c>
      <c r="S63" s="1" t="s">
        <v>75</v>
      </c>
      <c r="T63" s="1">
        <v>74</v>
      </c>
      <c r="U63" s="1">
        <v>63</v>
      </c>
      <c r="V63" s="1">
        <v>28</v>
      </c>
      <c r="W63" s="1">
        <v>26</v>
      </c>
      <c r="X63" s="1">
        <v>194</v>
      </c>
      <c r="Y63" s="5">
        <f>STREAMS_STATS[[#This Row],[Duration]]/60</f>
        <v>3.2333333333333334</v>
      </c>
      <c r="Z63" s="1">
        <v>0</v>
      </c>
      <c r="AA63" s="1">
        <v>4</v>
      </c>
      <c r="AB63" s="1">
        <v>65</v>
      </c>
    </row>
    <row r="64" spans="1:28">
      <c r="A64" t="s">
        <v>180</v>
      </c>
      <c r="B64" s="1" t="s">
        <v>162</v>
      </c>
      <c r="C64" s="1" t="s">
        <v>67</v>
      </c>
      <c r="D64" s="1">
        <v>2017</v>
      </c>
      <c r="E64" s="3">
        <v>461437791</v>
      </c>
      <c r="F64" s="3" t="str" cm="1">
        <f t="array" ref="F6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4" s="1">
        <v>3600</v>
      </c>
      <c r="H64" s="1">
        <v>278</v>
      </c>
      <c r="I64" s="1">
        <v>5</v>
      </c>
      <c r="J64" s="1">
        <v>10930</v>
      </c>
      <c r="K64" s="1">
        <v>5</v>
      </c>
      <c r="L64" s="1">
        <v>182</v>
      </c>
      <c r="M64" s="1">
        <v>1</v>
      </c>
      <c r="N64" s="1">
        <v>36019</v>
      </c>
      <c r="O64" s="1">
        <v>395</v>
      </c>
      <c r="P64" s="2">
        <f>SUM(STREAMS_STATS[[#This Row],[In Spotify Playlists]],STREAMS_STATS[[#This Row],[In Apple Playlists]],STREAMS_STATS[[#This Row],[In Deezer Playlists]],STREAMS_STATS[[#This Row],[In YouTube Playlists]])</f>
        <v>50731</v>
      </c>
      <c r="Q64" s="1">
        <v>106</v>
      </c>
      <c r="R64" s="1">
        <v>-6</v>
      </c>
      <c r="S64" s="1" t="s">
        <v>75</v>
      </c>
      <c r="T64" s="1">
        <v>79</v>
      </c>
      <c r="U64" s="1">
        <v>80</v>
      </c>
      <c r="V64" s="1">
        <v>22</v>
      </c>
      <c r="W64" s="1">
        <v>52</v>
      </c>
      <c r="X64" s="1">
        <v>228</v>
      </c>
      <c r="Y64" s="5">
        <f>STREAMS_STATS[[#This Row],[Duration]]/60</f>
        <v>3.8</v>
      </c>
      <c r="Z64" s="1">
        <v>13</v>
      </c>
      <c r="AA64" s="1">
        <v>6</v>
      </c>
      <c r="AB64" s="1">
        <v>68</v>
      </c>
    </row>
    <row r="65" spans="1:28">
      <c r="A65" t="s">
        <v>181</v>
      </c>
      <c r="B65" s="1" t="s">
        <v>182</v>
      </c>
      <c r="C65" s="1" t="s">
        <v>183</v>
      </c>
      <c r="D65" s="1">
        <v>2018</v>
      </c>
      <c r="E65" s="3">
        <v>258316038</v>
      </c>
      <c r="F65" s="3" t="str" cm="1">
        <f t="array" ref="F6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5" s="1">
        <v>1930</v>
      </c>
      <c r="H65" s="1">
        <v>218</v>
      </c>
      <c r="I65" s="1">
        <v>125</v>
      </c>
      <c r="J65" s="1">
        <v>30678</v>
      </c>
      <c r="K65" s="1">
        <v>125</v>
      </c>
      <c r="L65" s="2">
        <v>6280</v>
      </c>
      <c r="M65" s="1">
        <v>2</v>
      </c>
      <c r="N65" s="1">
        <v>6851</v>
      </c>
      <c r="O65" s="1">
        <v>256</v>
      </c>
      <c r="P65" s="2">
        <f>SUM(STREAMS_STATS[[#This Row],[In Spotify Playlists]],STREAMS_STATS[[#This Row],[In Apple Playlists]],STREAMS_STATS[[#This Row],[In Deezer Playlists]],STREAMS_STATS[[#This Row],[In YouTube Playlists]])</f>
        <v>45739</v>
      </c>
      <c r="Q65" s="1">
        <v>110</v>
      </c>
      <c r="R65" s="1">
        <v>-8</v>
      </c>
      <c r="S65" s="1" t="s">
        <v>68</v>
      </c>
      <c r="T65" s="1">
        <v>76</v>
      </c>
      <c r="U65" s="1">
        <v>75</v>
      </c>
      <c r="V65" s="1">
        <v>20</v>
      </c>
      <c r="W65" s="1">
        <v>58</v>
      </c>
      <c r="X65" s="1">
        <v>248</v>
      </c>
      <c r="Y65" s="5">
        <f>STREAMS_STATS[[#This Row],[Duration]]/60</f>
        <v>4.1333333333333337</v>
      </c>
      <c r="Z65" s="1">
        <v>0</v>
      </c>
      <c r="AA65" s="1">
        <v>5</v>
      </c>
      <c r="AB65" s="1">
        <v>53</v>
      </c>
    </row>
    <row r="66" spans="1:28">
      <c r="A66" t="s">
        <v>184</v>
      </c>
      <c r="B66" s="1" t="s">
        <v>185</v>
      </c>
      <c r="C66" s="1" t="s">
        <v>186</v>
      </c>
      <c r="D66" s="1">
        <v>2014</v>
      </c>
      <c r="E66" s="3">
        <v>244658767</v>
      </c>
      <c r="F66" s="3" t="str" cm="1">
        <f t="array" ref="F6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66" s="1">
        <v>1756</v>
      </c>
      <c r="H66" s="1">
        <v>388</v>
      </c>
      <c r="I66" s="1">
        <v>1</v>
      </c>
      <c r="J66" s="1">
        <v>16363</v>
      </c>
      <c r="K66" s="1">
        <v>1</v>
      </c>
      <c r="L66" s="1">
        <v>13</v>
      </c>
      <c r="M66" s="1">
        <v>18</v>
      </c>
      <c r="N66" s="1">
        <v>31769</v>
      </c>
      <c r="O66" s="1">
        <v>144</v>
      </c>
      <c r="P66" s="2">
        <f>SUM(STREAMS_STATS[[#This Row],[In Spotify Playlists]],STREAMS_STATS[[#This Row],[In Apple Playlists]],STREAMS_STATS[[#This Row],[In Deezer Playlists]],STREAMS_STATS[[#This Row],[In YouTube Playlists]])</f>
        <v>49901</v>
      </c>
      <c r="Q66" s="1">
        <v>92</v>
      </c>
      <c r="R66" s="1">
        <v>-4</v>
      </c>
      <c r="S66" s="1" t="s">
        <v>68</v>
      </c>
      <c r="T66" s="1">
        <v>81</v>
      </c>
      <c r="U66" s="1">
        <v>68</v>
      </c>
      <c r="V66" s="1">
        <v>34</v>
      </c>
      <c r="W66" s="1">
        <v>64</v>
      </c>
      <c r="X66" s="1">
        <v>169</v>
      </c>
      <c r="Y66" s="5">
        <f>STREAMS_STATS[[#This Row],[Duration]]/60</f>
        <v>2.8166666666666669</v>
      </c>
      <c r="Z66" s="1">
        <v>7</v>
      </c>
      <c r="AA66" s="1">
        <v>6</v>
      </c>
      <c r="AB66" s="1">
        <v>50</v>
      </c>
    </row>
    <row r="67" spans="1:28">
      <c r="A67" t="s">
        <v>187</v>
      </c>
      <c r="B67" s="1" t="s">
        <v>95</v>
      </c>
      <c r="C67" s="1" t="s">
        <v>67</v>
      </c>
      <c r="D67" s="1">
        <v>2015</v>
      </c>
      <c r="E67" s="3">
        <v>362361576</v>
      </c>
      <c r="F67" s="3" t="str" cm="1">
        <f t="array" ref="F6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7" s="1">
        <v>2814</v>
      </c>
      <c r="H67" s="1">
        <v>278</v>
      </c>
      <c r="I67" s="1">
        <v>10</v>
      </c>
      <c r="J67" s="1">
        <v>30989</v>
      </c>
      <c r="K67" s="1">
        <v>10</v>
      </c>
      <c r="L67" s="1">
        <v>9</v>
      </c>
      <c r="M67" s="1">
        <v>15</v>
      </c>
      <c r="N67" s="1">
        <v>2583</v>
      </c>
      <c r="O67" s="1">
        <v>387</v>
      </c>
      <c r="P67" s="2">
        <f>SUM(STREAMS_STATS[[#This Row],[In Spotify Playlists]],STREAMS_STATS[[#This Row],[In Apple Playlists]],STREAMS_STATS[[#This Row],[In Deezer Playlists]],STREAMS_STATS[[#This Row],[In YouTube Playlists]])</f>
        <v>36395</v>
      </c>
      <c r="Q67" s="1">
        <v>129</v>
      </c>
      <c r="R67" s="1">
        <v>-4</v>
      </c>
      <c r="S67" s="1" t="s">
        <v>75</v>
      </c>
      <c r="T67" s="1">
        <v>95</v>
      </c>
      <c r="U67" s="1">
        <v>71</v>
      </c>
      <c r="V67" s="1">
        <v>26</v>
      </c>
      <c r="W67" s="1">
        <v>40</v>
      </c>
      <c r="X67" s="1">
        <v>210</v>
      </c>
      <c r="Y67" s="5">
        <f>STREAMS_STATS[[#This Row],[Duration]]/60</f>
        <v>3.5</v>
      </c>
      <c r="Z67" s="1">
        <v>0</v>
      </c>
      <c r="AA67" s="1">
        <v>5</v>
      </c>
      <c r="AB67" s="1">
        <v>64</v>
      </c>
    </row>
    <row r="68" spans="1:28">
      <c r="A68" t="s">
        <v>188</v>
      </c>
      <c r="B68" s="1" t="s">
        <v>97</v>
      </c>
      <c r="C68" s="1" t="s">
        <v>67</v>
      </c>
      <c r="D68" s="1">
        <v>2011</v>
      </c>
      <c r="E68" s="3">
        <v>759208783</v>
      </c>
      <c r="F68" s="3" t="str" cm="1">
        <f t="array" ref="F6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68" s="1">
        <v>6638</v>
      </c>
      <c r="H68" s="1">
        <v>373</v>
      </c>
      <c r="I68" s="1">
        <v>117</v>
      </c>
      <c r="J68" s="1">
        <v>13760</v>
      </c>
      <c r="K68" s="1">
        <v>80</v>
      </c>
      <c r="L68" s="1">
        <v>1275</v>
      </c>
      <c r="M68" s="1">
        <v>163</v>
      </c>
      <c r="N68" s="1">
        <v>17571</v>
      </c>
      <c r="O68" s="1">
        <v>69</v>
      </c>
      <c r="P68" s="2">
        <f>SUM(STREAMS_STATS[[#This Row],[In Spotify Playlists]],STREAMS_STATS[[#This Row],[In Apple Playlists]],STREAMS_STATS[[#This Row],[In Deezer Playlists]],STREAMS_STATS[[#This Row],[In YouTube Playlists]])</f>
        <v>39244</v>
      </c>
      <c r="Q68" s="1">
        <v>124</v>
      </c>
      <c r="R68" s="1">
        <v>-5</v>
      </c>
      <c r="S68" s="1" t="s">
        <v>68</v>
      </c>
      <c r="T68" s="1">
        <v>83</v>
      </c>
      <c r="U68" s="1">
        <v>59</v>
      </c>
      <c r="V68" s="1">
        <v>33</v>
      </c>
      <c r="W68" s="1">
        <v>49</v>
      </c>
      <c r="X68" s="1">
        <v>260</v>
      </c>
      <c r="Y68" s="5">
        <f>STREAMS_STATS[[#This Row],[Duration]]/60</f>
        <v>4.333333333333333</v>
      </c>
      <c r="Z68" s="1">
        <v>0</v>
      </c>
      <c r="AA68" s="1">
        <v>16</v>
      </c>
      <c r="AB68" s="1">
        <v>73</v>
      </c>
    </row>
    <row r="69" spans="1:28">
      <c r="A69" t="s">
        <v>189</v>
      </c>
      <c r="B69" s="1" t="s">
        <v>190</v>
      </c>
      <c r="C69" s="1" t="s">
        <v>67</v>
      </c>
      <c r="D69" s="1">
        <v>2010</v>
      </c>
      <c r="E69" s="3">
        <v>326792833</v>
      </c>
      <c r="F69" s="3" t="str" cm="1">
        <f t="array" ref="F6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69" s="1">
        <v>2537</v>
      </c>
      <c r="H69" s="1">
        <v>413</v>
      </c>
      <c r="I69" s="1">
        <v>449</v>
      </c>
      <c r="J69" s="1">
        <v>26619</v>
      </c>
      <c r="K69" s="1">
        <v>94</v>
      </c>
      <c r="L69" s="1">
        <v>697</v>
      </c>
      <c r="M69" s="1">
        <v>153</v>
      </c>
      <c r="N69" s="1">
        <v>24538</v>
      </c>
      <c r="O69" s="1">
        <v>379</v>
      </c>
      <c r="P69" s="2">
        <f>SUM(STREAMS_STATS[[#This Row],[In Spotify Playlists]],STREAMS_STATS[[#This Row],[In Apple Playlists]],STREAMS_STATS[[#This Row],[In Deezer Playlists]],STREAMS_STATS[[#This Row],[In YouTube Playlists]])</f>
        <v>54391</v>
      </c>
      <c r="Q69" s="1">
        <v>164</v>
      </c>
      <c r="R69" s="1">
        <v>-5</v>
      </c>
      <c r="S69" s="1" t="s">
        <v>68</v>
      </c>
      <c r="T69" s="1">
        <v>41</v>
      </c>
      <c r="U69" s="1">
        <v>29</v>
      </c>
      <c r="V69" s="1">
        <v>13</v>
      </c>
      <c r="W69" s="1">
        <v>7</v>
      </c>
      <c r="X69" s="1">
        <v>264</v>
      </c>
      <c r="Y69" s="5">
        <f>STREAMS_STATS[[#This Row],[Duration]]/60</f>
        <v>4.4000000000000004</v>
      </c>
      <c r="Z69" s="1">
        <v>83</v>
      </c>
      <c r="AA69" s="1">
        <v>3</v>
      </c>
      <c r="AB69" s="1">
        <v>61</v>
      </c>
    </row>
    <row r="70" spans="1:28">
      <c r="A70" t="s">
        <v>191</v>
      </c>
      <c r="B70" s="1" t="s">
        <v>37</v>
      </c>
      <c r="C70" s="1" t="s">
        <v>134</v>
      </c>
      <c r="D70" s="1">
        <v>2012</v>
      </c>
      <c r="E70" s="3">
        <v>608334048</v>
      </c>
      <c r="F70" s="3" t="str" cm="1">
        <f t="array" ref="F7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70" s="1">
        <v>4967</v>
      </c>
      <c r="H70" s="1">
        <v>334</v>
      </c>
      <c r="I70" s="1">
        <v>356</v>
      </c>
      <c r="J70" s="1">
        <v>3360</v>
      </c>
      <c r="K70" s="1">
        <v>61</v>
      </c>
      <c r="L70" s="1">
        <v>6352</v>
      </c>
      <c r="M70" s="1">
        <v>95</v>
      </c>
      <c r="N70" s="1">
        <v>36002</v>
      </c>
      <c r="O70" s="1">
        <v>89</v>
      </c>
      <c r="P70" s="2">
        <f>SUM(STREAMS_STATS[[#This Row],[In Spotify Playlists]],STREAMS_STATS[[#This Row],[In Apple Playlists]],STREAMS_STATS[[#This Row],[In Deezer Playlists]],STREAMS_STATS[[#This Row],[In YouTube Playlists]])</f>
        <v>50681</v>
      </c>
      <c r="Q70" s="1">
        <v>97</v>
      </c>
      <c r="R70" s="1">
        <v>-6</v>
      </c>
      <c r="S70" s="1" t="s">
        <v>75</v>
      </c>
      <c r="T70" s="1">
        <v>55</v>
      </c>
      <c r="U70" s="1">
        <v>72</v>
      </c>
      <c r="V70" s="1">
        <v>13</v>
      </c>
      <c r="W70" s="1">
        <v>33</v>
      </c>
      <c r="X70" s="1">
        <v>171</v>
      </c>
      <c r="Y70" s="5">
        <f>STREAMS_STATS[[#This Row],[Duration]]/60</f>
        <v>2.85</v>
      </c>
      <c r="Z70" s="1">
        <v>4</v>
      </c>
      <c r="AA70" s="1">
        <v>5</v>
      </c>
      <c r="AB70" s="1">
        <v>71</v>
      </c>
    </row>
    <row r="71" spans="1:28">
      <c r="A71" t="s">
        <v>192</v>
      </c>
      <c r="B71" s="1" t="s">
        <v>193</v>
      </c>
      <c r="C71" s="1" t="s">
        <v>194</v>
      </c>
      <c r="D71" s="1">
        <v>2013</v>
      </c>
      <c r="E71" s="3">
        <v>606361689</v>
      </c>
      <c r="F71" s="3" t="str" cm="1">
        <f t="array" ref="F7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71" s="1">
        <v>4893</v>
      </c>
      <c r="H71" s="1">
        <v>243</v>
      </c>
      <c r="I71" s="1">
        <v>143</v>
      </c>
      <c r="J71" s="1">
        <v>9691</v>
      </c>
      <c r="K71" s="1">
        <v>143</v>
      </c>
      <c r="L71" s="2">
        <v>1632</v>
      </c>
      <c r="M71" s="1">
        <v>3</v>
      </c>
      <c r="N71" s="1">
        <v>2338</v>
      </c>
      <c r="O71" s="1">
        <v>193</v>
      </c>
      <c r="P71" s="2">
        <f>SUM(STREAMS_STATS[[#This Row],[In Spotify Playlists]],STREAMS_STATS[[#This Row],[In Apple Playlists]],STREAMS_STATS[[#This Row],[In Deezer Playlists]],STREAMS_STATS[[#This Row],[In YouTube Playlists]])</f>
        <v>18554</v>
      </c>
      <c r="Q71" s="1">
        <v>185</v>
      </c>
      <c r="R71" s="1">
        <v>-4</v>
      </c>
      <c r="S71" s="1" t="s">
        <v>68</v>
      </c>
      <c r="T71" s="1">
        <v>84</v>
      </c>
      <c r="U71" s="1">
        <v>55</v>
      </c>
      <c r="V71" s="1">
        <v>4</v>
      </c>
      <c r="W71" s="1">
        <v>76</v>
      </c>
      <c r="X71" s="1">
        <v>221</v>
      </c>
      <c r="Y71" s="5">
        <f>STREAMS_STATS[[#This Row],[Duration]]/60</f>
        <v>3.6833333333333331</v>
      </c>
      <c r="Z71" s="1">
        <v>1</v>
      </c>
      <c r="AA71" s="1">
        <v>5</v>
      </c>
      <c r="AB71" s="1">
        <v>71</v>
      </c>
    </row>
    <row r="72" spans="1:28">
      <c r="A72" t="s">
        <v>195</v>
      </c>
      <c r="B72" s="1" t="s">
        <v>40</v>
      </c>
      <c r="C72" s="1" t="s">
        <v>67</v>
      </c>
      <c r="D72" s="1">
        <v>2015</v>
      </c>
      <c r="E72" s="3">
        <v>850608354</v>
      </c>
      <c r="F72" s="3" t="str" cm="1">
        <f t="array" ref="F7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72" s="1">
        <v>7681</v>
      </c>
      <c r="H72" s="1">
        <v>231</v>
      </c>
      <c r="I72" s="1">
        <v>4</v>
      </c>
      <c r="J72" s="1">
        <v>10550</v>
      </c>
      <c r="K72" s="1">
        <v>4</v>
      </c>
      <c r="L72" s="1">
        <v>52</v>
      </c>
      <c r="M72" s="1">
        <v>21</v>
      </c>
      <c r="N72" s="1">
        <v>19025</v>
      </c>
      <c r="O72" s="1">
        <v>125</v>
      </c>
      <c r="P72" s="2">
        <f>SUM(STREAMS_STATS[[#This Row],[In Spotify Playlists]],STREAMS_STATS[[#This Row],[In Apple Playlists]],STREAMS_STATS[[#This Row],[In Deezer Playlists]],STREAMS_STATS[[#This Row],[In YouTube Playlists]])</f>
        <v>37308</v>
      </c>
      <c r="Q72" s="1">
        <v>130</v>
      </c>
      <c r="R72" s="1">
        <v>-5</v>
      </c>
      <c r="S72" s="1" t="s">
        <v>75</v>
      </c>
      <c r="T72" s="1">
        <v>70</v>
      </c>
      <c r="U72" s="1">
        <v>69</v>
      </c>
      <c r="V72" s="1">
        <v>20</v>
      </c>
      <c r="W72" s="1">
        <v>28</v>
      </c>
      <c r="X72" s="1">
        <v>215</v>
      </c>
      <c r="Y72" s="5">
        <f>STREAMS_STATS[[#This Row],[Duration]]/60</f>
        <v>3.5833333333333335</v>
      </c>
      <c r="Z72" s="1">
        <v>1</v>
      </c>
      <c r="AA72" s="1">
        <v>5</v>
      </c>
      <c r="AB72" s="1">
        <v>75</v>
      </c>
    </row>
    <row r="73" spans="1:28">
      <c r="A73" t="s">
        <v>196</v>
      </c>
      <c r="B73" s="1" t="s">
        <v>197</v>
      </c>
      <c r="C73" s="1" t="s">
        <v>67</v>
      </c>
      <c r="D73" s="1">
        <v>2010</v>
      </c>
      <c r="E73" s="3">
        <v>208166039</v>
      </c>
      <c r="F73" s="3" t="str" cm="1">
        <f t="array" ref="F7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73" s="1">
        <v>1473</v>
      </c>
      <c r="H73" s="1">
        <v>410</v>
      </c>
      <c r="I73" s="1">
        <v>135</v>
      </c>
      <c r="J73" s="1">
        <v>8583</v>
      </c>
      <c r="K73" s="1">
        <v>93</v>
      </c>
      <c r="L73" s="1">
        <v>4831</v>
      </c>
      <c r="M73" s="1">
        <v>166</v>
      </c>
      <c r="N73" s="1">
        <v>23662</v>
      </c>
      <c r="O73" s="1">
        <v>331</v>
      </c>
      <c r="P73" s="2">
        <f>SUM(STREAMS_STATS[[#This Row],[In Spotify Playlists]],STREAMS_STATS[[#This Row],[In Apple Playlists]],STREAMS_STATS[[#This Row],[In Deezer Playlists]],STREAMS_STATS[[#This Row],[In YouTube Playlists]])</f>
        <v>38549</v>
      </c>
      <c r="Q73" s="1">
        <v>122</v>
      </c>
      <c r="R73" s="1">
        <v>-5</v>
      </c>
      <c r="S73" s="1" t="s">
        <v>68</v>
      </c>
      <c r="T73" s="1">
        <v>90</v>
      </c>
      <c r="U73" s="1">
        <v>67</v>
      </c>
      <c r="V73" s="1">
        <v>8</v>
      </c>
      <c r="W73" s="1">
        <v>63</v>
      </c>
      <c r="X73" s="1">
        <v>186</v>
      </c>
      <c r="Y73" s="5">
        <f>STREAMS_STATS[[#This Row],[Duration]]/60</f>
        <v>3.1</v>
      </c>
      <c r="Z73" s="1">
        <v>0</v>
      </c>
      <c r="AA73" s="1">
        <v>3</v>
      </c>
      <c r="AB73" s="1">
        <v>33</v>
      </c>
    </row>
    <row r="74" spans="1:28">
      <c r="A74" t="s">
        <v>198</v>
      </c>
      <c r="B74" s="1" t="s">
        <v>199</v>
      </c>
      <c r="C74" s="1" t="s">
        <v>105</v>
      </c>
      <c r="D74" s="1">
        <v>2015</v>
      </c>
      <c r="E74" s="3">
        <v>373199958</v>
      </c>
      <c r="F74" s="3" t="str" cm="1">
        <f t="array" ref="F7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74" s="1">
        <v>2942</v>
      </c>
      <c r="H74" s="1">
        <v>362</v>
      </c>
      <c r="I74" s="1">
        <v>5</v>
      </c>
      <c r="J74" s="1">
        <v>6733</v>
      </c>
      <c r="K74" s="1">
        <v>5</v>
      </c>
      <c r="L74" s="1">
        <v>21</v>
      </c>
      <c r="M74" s="1">
        <v>5</v>
      </c>
      <c r="N74" s="1">
        <v>33707</v>
      </c>
      <c r="O74" s="1">
        <v>3</v>
      </c>
      <c r="P74" s="2">
        <f>SUM(STREAMS_STATS[[#This Row],[In Spotify Playlists]],STREAMS_STATS[[#This Row],[In Apple Playlists]],STREAMS_STATS[[#This Row],[In Deezer Playlists]],STREAMS_STATS[[#This Row],[In YouTube Playlists]])</f>
        <v>43403</v>
      </c>
      <c r="Q74" s="1">
        <v>116</v>
      </c>
      <c r="R74" s="1">
        <v>-7</v>
      </c>
      <c r="S74" s="1" t="s">
        <v>68</v>
      </c>
      <c r="T74" s="1">
        <v>67</v>
      </c>
      <c r="U74" s="1">
        <v>63</v>
      </c>
      <c r="V74" s="1">
        <v>10</v>
      </c>
      <c r="W74" s="1">
        <v>29</v>
      </c>
      <c r="X74" s="1">
        <v>233</v>
      </c>
      <c r="Y74" s="5">
        <f>STREAMS_STATS[[#This Row],[Duration]]/60</f>
        <v>3.8833333333333333</v>
      </c>
      <c r="Z74" s="1">
        <v>5</v>
      </c>
      <c r="AA74" s="1">
        <v>5</v>
      </c>
      <c r="AB74" s="1">
        <v>65</v>
      </c>
    </row>
    <row r="75" spans="1:28">
      <c r="A75" t="s">
        <v>200</v>
      </c>
      <c r="B75" s="1" t="s">
        <v>126</v>
      </c>
      <c r="C75" s="1" t="s">
        <v>67</v>
      </c>
      <c r="D75" s="1">
        <v>2014</v>
      </c>
      <c r="E75" s="3">
        <v>600976848</v>
      </c>
      <c r="F75" s="3" t="str" cm="1">
        <f t="array" ref="F7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75" s="1">
        <v>4875</v>
      </c>
      <c r="H75" s="1">
        <v>128</v>
      </c>
      <c r="I75" s="1">
        <v>7</v>
      </c>
      <c r="J75" s="1">
        <v>32491</v>
      </c>
      <c r="K75" s="1">
        <v>7</v>
      </c>
      <c r="L75" s="1">
        <v>10</v>
      </c>
      <c r="M75" s="1">
        <v>8</v>
      </c>
      <c r="N75" s="1">
        <v>10754</v>
      </c>
      <c r="O75" s="1">
        <v>91</v>
      </c>
      <c r="P75" s="2">
        <f>SUM(STREAMS_STATS[[#This Row],[In Spotify Playlists]],STREAMS_STATS[[#This Row],[In Apple Playlists]],STREAMS_STATS[[#This Row],[In Deezer Playlists]],STREAMS_STATS[[#This Row],[In YouTube Playlists]])</f>
        <v>48130</v>
      </c>
      <c r="Q75" s="1">
        <v>87</v>
      </c>
      <c r="R75" s="1">
        <v>-5</v>
      </c>
      <c r="S75" s="1" t="s">
        <v>75</v>
      </c>
      <c r="T75" s="1">
        <v>78</v>
      </c>
      <c r="U75" s="1">
        <v>56</v>
      </c>
      <c r="V75" s="1">
        <v>11</v>
      </c>
      <c r="W75" s="1">
        <v>33</v>
      </c>
      <c r="X75" s="1">
        <v>231</v>
      </c>
      <c r="Y75" s="5">
        <f>STREAMS_STATS[[#This Row],[Duration]]/60</f>
        <v>3.85</v>
      </c>
      <c r="Z75" s="1">
        <v>31</v>
      </c>
      <c r="AA75" s="1">
        <v>4</v>
      </c>
      <c r="AB75" s="1">
        <v>71</v>
      </c>
    </row>
    <row r="76" spans="1:28">
      <c r="A76" t="s">
        <v>201</v>
      </c>
      <c r="B76" s="1" t="s">
        <v>202</v>
      </c>
      <c r="C76" s="1" t="s">
        <v>67</v>
      </c>
      <c r="D76" s="1">
        <v>2016</v>
      </c>
      <c r="E76" s="3">
        <v>206399629</v>
      </c>
      <c r="F76" s="3" t="str" cm="1">
        <f t="array" ref="F7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76" s="1">
        <v>1452</v>
      </c>
      <c r="H76" s="1">
        <v>207</v>
      </c>
      <c r="I76" s="1">
        <v>101</v>
      </c>
      <c r="J76" s="1">
        <v>31694</v>
      </c>
      <c r="K76" s="1">
        <v>101</v>
      </c>
      <c r="L76" s="1">
        <v>113</v>
      </c>
      <c r="M76" s="1">
        <v>26</v>
      </c>
      <c r="N76" s="1">
        <v>34744</v>
      </c>
      <c r="O76" s="1">
        <v>290</v>
      </c>
      <c r="P76" s="2">
        <f>SUM(STREAMS_STATS[[#This Row],[In Spotify Playlists]],STREAMS_STATS[[#This Row],[In Apple Playlists]],STREAMS_STATS[[#This Row],[In Deezer Playlists]],STREAMS_STATS[[#This Row],[In YouTube Playlists]])</f>
        <v>68003</v>
      </c>
      <c r="Q76" s="1">
        <v>123</v>
      </c>
      <c r="R76" s="1">
        <v>-7</v>
      </c>
      <c r="S76" s="1" t="s">
        <v>68</v>
      </c>
      <c r="T76" s="1">
        <v>71</v>
      </c>
      <c r="U76" s="1">
        <v>83</v>
      </c>
      <c r="V76" s="1">
        <v>31</v>
      </c>
      <c r="W76" s="1">
        <v>83</v>
      </c>
      <c r="X76" s="1">
        <v>250</v>
      </c>
      <c r="Y76" s="5">
        <f>STREAMS_STATS[[#This Row],[Duration]]/60</f>
        <v>4.166666666666667</v>
      </c>
      <c r="Z76" s="1">
        <v>5</v>
      </c>
      <c r="AA76" s="1">
        <v>18</v>
      </c>
      <c r="AB76" s="1">
        <v>31</v>
      </c>
    </row>
    <row r="77" spans="1:28">
      <c r="A77" t="s">
        <v>203</v>
      </c>
      <c r="B77" s="1" t="s">
        <v>171</v>
      </c>
      <c r="C77" s="1" t="s">
        <v>67</v>
      </c>
      <c r="D77" s="1">
        <v>2016</v>
      </c>
      <c r="E77" s="3">
        <v>1608164312</v>
      </c>
      <c r="F77" s="3" t="str" cm="1">
        <f t="array" ref="F77">_xlfn.IFS(STREAMS_STATS[[#This Row],[Streams]] &gt;= 1000000000, "1B+", STREAMS_STATS[[#This Row],[Streams]] &gt;= 500000000, "500M–1B", STREAMS_STATS[[#This Row],[Streams]] &gt;= 250000000, "250M–500M", TRUE, "Under 250M")</f>
        <v>1B+</v>
      </c>
      <c r="G77" s="1">
        <v>19806</v>
      </c>
      <c r="H77" s="1">
        <v>45</v>
      </c>
      <c r="I77" s="1">
        <v>80</v>
      </c>
      <c r="J77" s="1">
        <v>11837</v>
      </c>
      <c r="K77" s="1">
        <v>80</v>
      </c>
      <c r="L77" s="1">
        <v>38</v>
      </c>
      <c r="M77" s="1">
        <v>18</v>
      </c>
      <c r="N77" s="1">
        <v>18920</v>
      </c>
      <c r="O77" s="1">
        <v>220</v>
      </c>
      <c r="P77" s="2">
        <f>SUM(STREAMS_STATS[[#This Row],[In Spotify Playlists]],STREAMS_STATS[[#This Row],[In Apple Playlists]],STREAMS_STATS[[#This Row],[In Deezer Playlists]],STREAMS_STATS[[#This Row],[In YouTube Playlists]])</f>
        <v>50601</v>
      </c>
      <c r="Q77" s="1">
        <v>119</v>
      </c>
      <c r="R77" s="1">
        <v>-5</v>
      </c>
      <c r="S77" s="1" t="s">
        <v>68</v>
      </c>
      <c r="T77" s="1">
        <v>75</v>
      </c>
      <c r="U77" s="1">
        <v>77</v>
      </c>
      <c r="V77" s="1">
        <v>4</v>
      </c>
      <c r="W77" s="1">
        <v>90</v>
      </c>
      <c r="X77" s="1">
        <v>219</v>
      </c>
      <c r="Y77" s="5">
        <f>STREAMS_STATS[[#This Row],[Duration]]/60</f>
        <v>3.65</v>
      </c>
      <c r="Z77" s="1">
        <v>15</v>
      </c>
      <c r="AA77" s="1">
        <v>5</v>
      </c>
      <c r="AB77" s="1">
        <v>81</v>
      </c>
    </row>
    <row r="78" spans="1:28">
      <c r="A78" t="s">
        <v>204</v>
      </c>
      <c r="B78" s="1" t="s">
        <v>162</v>
      </c>
      <c r="C78" s="1" t="s">
        <v>67</v>
      </c>
      <c r="D78" s="1">
        <v>2010</v>
      </c>
      <c r="E78" s="3">
        <v>339659802</v>
      </c>
      <c r="F78" s="3" t="str" cm="1">
        <f t="array" ref="F7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78" s="1">
        <v>2616</v>
      </c>
      <c r="H78" s="1">
        <v>128</v>
      </c>
      <c r="I78" s="1">
        <v>286</v>
      </c>
      <c r="J78" s="1">
        <v>28089</v>
      </c>
      <c r="K78" s="1">
        <v>89</v>
      </c>
      <c r="L78" s="1">
        <v>5821</v>
      </c>
      <c r="M78" s="1">
        <v>189</v>
      </c>
      <c r="N78" s="1">
        <v>14604</v>
      </c>
      <c r="O78" s="1">
        <v>237</v>
      </c>
      <c r="P78" s="2">
        <f>SUM(STREAMS_STATS[[#This Row],[In Spotify Playlists]],STREAMS_STATS[[#This Row],[In Apple Playlists]],STREAMS_STATS[[#This Row],[In Deezer Playlists]],STREAMS_STATS[[#This Row],[In YouTube Playlists]])</f>
        <v>51130</v>
      </c>
      <c r="Q78" s="1">
        <v>125</v>
      </c>
      <c r="R78" s="1">
        <v>-4</v>
      </c>
      <c r="S78" s="1" t="s">
        <v>75</v>
      </c>
      <c r="T78" s="1">
        <v>75</v>
      </c>
      <c r="U78" s="1">
        <v>79</v>
      </c>
      <c r="V78" s="1">
        <v>18</v>
      </c>
      <c r="W78" s="1">
        <v>40</v>
      </c>
      <c r="X78" s="1">
        <v>235</v>
      </c>
      <c r="Y78" s="5">
        <f>STREAMS_STATS[[#This Row],[Duration]]/60</f>
        <v>3.9166666666666665</v>
      </c>
      <c r="Z78" s="1">
        <v>0</v>
      </c>
      <c r="AA78" s="1">
        <v>5</v>
      </c>
      <c r="AB78" s="1">
        <v>62</v>
      </c>
    </row>
    <row r="79" spans="1:28">
      <c r="A79" t="s">
        <v>205</v>
      </c>
      <c r="B79" s="1" t="s">
        <v>206</v>
      </c>
      <c r="C79" s="1" t="s">
        <v>134</v>
      </c>
      <c r="D79" s="1">
        <v>2012</v>
      </c>
      <c r="E79" s="3">
        <v>999748277</v>
      </c>
      <c r="F79" s="3" t="str" cm="1">
        <f t="array" ref="F7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79" s="1">
        <v>8879</v>
      </c>
      <c r="H79" s="1">
        <v>87</v>
      </c>
      <c r="I79" s="1">
        <v>346</v>
      </c>
      <c r="J79" s="1">
        <v>16666</v>
      </c>
      <c r="K79" s="1">
        <v>79</v>
      </c>
      <c r="L79" s="1">
        <v>7014</v>
      </c>
      <c r="M79" s="1">
        <v>58</v>
      </c>
      <c r="N79" s="1">
        <v>31764</v>
      </c>
      <c r="O79" s="1">
        <v>189</v>
      </c>
      <c r="P79" s="2">
        <f>SUM(STREAMS_STATS[[#This Row],[In Spotify Playlists]],STREAMS_STATS[[#This Row],[In Apple Playlists]],STREAMS_STATS[[#This Row],[In Deezer Playlists]],STREAMS_STATS[[#This Row],[In YouTube Playlists]])</f>
        <v>64323</v>
      </c>
      <c r="Q79" s="1">
        <v>120</v>
      </c>
      <c r="R79" s="1">
        <v>-7</v>
      </c>
      <c r="S79" s="1" t="s">
        <v>68</v>
      </c>
      <c r="T79" s="1">
        <v>58</v>
      </c>
      <c r="U79" s="1">
        <v>78</v>
      </c>
      <c r="V79" s="1">
        <v>11</v>
      </c>
      <c r="W79" s="1">
        <v>66</v>
      </c>
      <c r="X79" s="1">
        <v>193</v>
      </c>
      <c r="Y79" s="5">
        <f>STREAMS_STATS[[#This Row],[Duration]]/60</f>
        <v>3.2166666666666668</v>
      </c>
      <c r="Z79" s="1">
        <v>1</v>
      </c>
      <c r="AA79" s="1">
        <v>4</v>
      </c>
      <c r="AB79" s="1">
        <v>76</v>
      </c>
    </row>
    <row r="80" spans="1:28">
      <c r="A80" t="s">
        <v>207</v>
      </c>
      <c r="B80" s="1" t="s">
        <v>35</v>
      </c>
      <c r="C80" s="1" t="s">
        <v>24</v>
      </c>
      <c r="D80" s="1">
        <v>2019</v>
      </c>
      <c r="E80" s="3">
        <v>1575467011</v>
      </c>
      <c r="F80" s="3" t="str" cm="1">
        <f t="array" ref="F80">_xlfn.IFS(STREAMS_STATS[[#This Row],[Streams]] &gt;= 1000000000, "1B+", STREAMS_STATS[[#This Row],[Streams]] &gt;= 500000000, "500M–1B", STREAMS_STATS[[#This Row],[Streams]] &gt;= 250000000, "250M–500M", TRUE, "Under 250M")</f>
        <v>1B+</v>
      </c>
      <c r="G80" s="1">
        <v>18371</v>
      </c>
      <c r="H80" s="1">
        <v>28</v>
      </c>
      <c r="I80" s="1">
        <v>34</v>
      </c>
      <c r="J80" s="1">
        <v>6464</v>
      </c>
      <c r="K80" s="1">
        <v>34</v>
      </c>
      <c r="L80" s="1">
        <v>710</v>
      </c>
      <c r="M80" s="1">
        <v>23</v>
      </c>
      <c r="N80" s="1">
        <v>1098</v>
      </c>
      <c r="O80" s="1">
        <v>334</v>
      </c>
      <c r="P80" s="2">
        <f>SUM(STREAMS_STATS[[#This Row],[In Spotify Playlists]],STREAMS_STATS[[#This Row],[In Apple Playlists]],STREAMS_STATS[[#This Row],[In Deezer Playlists]],STREAMS_STATS[[#This Row],[In YouTube Playlists]])</f>
        <v>26643</v>
      </c>
      <c r="Q80" s="1">
        <v>104</v>
      </c>
      <c r="R80" s="1">
        <v>-6</v>
      </c>
      <c r="S80" s="1" t="s">
        <v>68</v>
      </c>
      <c r="T80" s="1">
        <v>70</v>
      </c>
      <c r="U80" s="1">
        <v>59</v>
      </c>
      <c r="V80" s="1">
        <v>34</v>
      </c>
      <c r="W80" s="1">
        <v>52</v>
      </c>
      <c r="X80" s="1">
        <v>218</v>
      </c>
      <c r="Y80" s="5">
        <f>STREAMS_STATS[[#This Row],[Duration]]/60</f>
        <v>3.6333333333333333</v>
      </c>
      <c r="Z80" s="1">
        <v>20</v>
      </c>
      <c r="AA80" s="1">
        <v>3</v>
      </c>
      <c r="AB80" s="1">
        <v>81</v>
      </c>
    </row>
    <row r="81" spans="1:28">
      <c r="A81" t="s">
        <v>208</v>
      </c>
      <c r="B81" s="1" t="s">
        <v>209</v>
      </c>
      <c r="C81" s="1" t="s">
        <v>67</v>
      </c>
      <c r="D81" s="1">
        <v>2017</v>
      </c>
      <c r="E81" s="3">
        <v>538115192</v>
      </c>
      <c r="F81" s="3" t="str" cm="1">
        <f t="array" ref="F8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81" s="1">
        <v>4326</v>
      </c>
      <c r="H81" s="1">
        <v>165</v>
      </c>
      <c r="I81" s="1">
        <v>31</v>
      </c>
      <c r="J81" s="1">
        <v>12982</v>
      </c>
      <c r="K81" s="1">
        <v>31</v>
      </c>
      <c r="L81" s="1">
        <v>212</v>
      </c>
      <c r="M81" s="1">
        <v>1</v>
      </c>
      <c r="N81" s="1">
        <v>5771</v>
      </c>
      <c r="O81" s="1">
        <v>395</v>
      </c>
      <c r="P81" s="2">
        <f>SUM(STREAMS_STATS[[#This Row],[In Spotify Playlists]],STREAMS_STATS[[#This Row],[In Apple Playlists]],STREAMS_STATS[[#This Row],[In Deezer Playlists]],STREAMS_STATS[[#This Row],[In YouTube Playlists]])</f>
        <v>23291</v>
      </c>
      <c r="Q81" s="1">
        <v>125</v>
      </c>
      <c r="R81" s="1">
        <v>-3</v>
      </c>
      <c r="S81" s="1" t="s">
        <v>68</v>
      </c>
      <c r="T81" s="1">
        <v>87</v>
      </c>
      <c r="U81" s="1">
        <v>71</v>
      </c>
      <c r="V81" s="1">
        <v>12</v>
      </c>
      <c r="W81" s="1">
        <v>72</v>
      </c>
      <c r="X81" s="1">
        <v>203</v>
      </c>
      <c r="Y81" s="5">
        <f>STREAMS_STATS[[#This Row],[Duration]]/60</f>
        <v>3.3833333333333333</v>
      </c>
      <c r="Z81" s="1">
        <v>3</v>
      </c>
      <c r="AA81" s="1">
        <v>4</v>
      </c>
      <c r="AB81" s="1">
        <v>70</v>
      </c>
    </row>
    <row r="82" spans="1:28">
      <c r="A82" t="s">
        <v>210</v>
      </c>
      <c r="B82" s="1" t="s">
        <v>211</v>
      </c>
      <c r="C82" s="1" t="s">
        <v>212</v>
      </c>
      <c r="D82" s="1">
        <v>2014</v>
      </c>
      <c r="E82" s="3">
        <v>212351890</v>
      </c>
      <c r="F82" s="3" t="str" cm="1">
        <f t="array" ref="F8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82" s="1">
        <v>1492</v>
      </c>
      <c r="H82" s="1">
        <v>327</v>
      </c>
      <c r="I82" s="1">
        <v>24</v>
      </c>
      <c r="J82" s="1">
        <v>35005</v>
      </c>
      <c r="K82" s="1">
        <v>29</v>
      </c>
      <c r="L82" s="1">
        <v>9</v>
      </c>
      <c r="M82" s="1">
        <v>42</v>
      </c>
      <c r="N82" s="1">
        <v>17334</v>
      </c>
      <c r="O82" s="1">
        <v>389</v>
      </c>
      <c r="P82" s="2">
        <f>SUM(STREAMS_STATS[[#This Row],[In Spotify Playlists]],STREAMS_STATS[[#This Row],[In Apple Playlists]],STREAMS_STATS[[#This Row],[In Deezer Playlists]],STREAMS_STATS[[#This Row],[In YouTube Playlists]])</f>
        <v>53840</v>
      </c>
      <c r="Q82" s="1">
        <v>92</v>
      </c>
      <c r="R82" s="1">
        <v>-3</v>
      </c>
      <c r="S82" s="1" t="s">
        <v>68</v>
      </c>
      <c r="T82" s="1">
        <v>82</v>
      </c>
      <c r="U82" s="1">
        <v>56</v>
      </c>
      <c r="V82" s="1">
        <v>19</v>
      </c>
      <c r="W82" s="1">
        <v>57</v>
      </c>
      <c r="X82" s="1">
        <v>215</v>
      </c>
      <c r="Y82" s="5">
        <f>STREAMS_STATS[[#This Row],[Duration]]/60</f>
        <v>3.5833333333333335</v>
      </c>
      <c r="Z82" s="1">
        <v>2</v>
      </c>
      <c r="AA82" s="1">
        <v>5</v>
      </c>
      <c r="AB82" s="1">
        <v>37</v>
      </c>
    </row>
    <row r="83" spans="1:28">
      <c r="A83" t="s">
        <v>213</v>
      </c>
      <c r="B83" s="1" t="s">
        <v>214</v>
      </c>
      <c r="C83" s="1" t="s">
        <v>67</v>
      </c>
      <c r="D83" s="1">
        <v>2013</v>
      </c>
      <c r="E83" s="3">
        <v>571386359</v>
      </c>
      <c r="F83" s="3" t="str" cm="1">
        <f t="array" ref="F8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83" s="1">
        <v>4635</v>
      </c>
      <c r="H83" s="1">
        <v>230</v>
      </c>
      <c r="I83" s="1">
        <v>135</v>
      </c>
      <c r="J83" s="1">
        <v>7850</v>
      </c>
      <c r="K83" s="1">
        <v>135</v>
      </c>
      <c r="L83" s="2">
        <v>1034</v>
      </c>
      <c r="M83" s="1">
        <v>37</v>
      </c>
      <c r="N83" s="1">
        <v>6264</v>
      </c>
      <c r="O83" s="1">
        <v>253</v>
      </c>
      <c r="P83" s="2">
        <f>SUM(STREAMS_STATS[[#This Row],[In Spotify Playlists]],STREAMS_STATS[[#This Row],[In Apple Playlists]],STREAMS_STATS[[#This Row],[In Deezer Playlists]],STREAMS_STATS[[#This Row],[In YouTube Playlists]])</f>
        <v>19783</v>
      </c>
      <c r="Q83" s="1">
        <v>146</v>
      </c>
      <c r="R83" s="1">
        <v>-4</v>
      </c>
      <c r="S83" s="1" t="s">
        <v>68</v>
      </c>
      <c r="T83" s="1">
        <v>93</v>
      </c>
      <c r="U83" s="1">
        <v>63</v>
      </c>
      <c r="V83" s="1">
        <v>10</v>
      </c>
      <c r="W83" s="1">
        <v>88</v>
      </c>
      <c r="X83" s="1">
        <v>258</v>
      </c>
      <c r="Y83" s="5">
        <f>STREAMS_STATS[[#This Row],[Duration]]/60</f>
        <v>4.3</v>
      </c>
      <c r="Z83" s="1">
        <v>3</v>
      </c>
      <c r="AA83" s="1">
        <v>8</v>
      </c>
      <c r="AB83" s="1">
        <v>70</v>
      </c>
    </row>
    <row r="84" spans="1:28">
      <c r="A84" t="s">
        <v>215</v>
      </c>
      <c r="B84" s="1" t="s">
        <v>216</v>
      </c>
      <c r="C84" s="1" t="s">
        <v>217</v>
      </c>
      <c r="D84" s="1">
        <v>2014</v>
      </c>
      <c r="E84" s="3">
        <v>332506354</v>
      </c>
      <c r="F84" s="3" t="str" cm="1">
        <f t="array" ref="F8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84" s="1">
        <v>2578</v>
      </c>
      <c r="H84" s="1">
        <v>376</v>
      </c>
      <c r="I84" s="1">
        <v>1</v>
      </c>
      <c r="J84" s="1">
        <v>7326</v>
      </c>
      <c r="K84" s="1">
        <v>1</v>
      </c>
      <c r="L84" s="1">
        <v>2</v>
      </c>
      <c r="M84" s="1">
        <v>23</v>
      </c>
      <c r="N84" s="1">
        <v>22827</v>
      </c>
      <c r="O84" s="1">
        <v>313</v>
      </c>
      <c r="P84" s="2">
        <f>SUM(STREAMS_STATS[[#This Row],[In Spotify Playlists]],STREAMS_STATS[[#This Row],[In Apple Playlists]],STREAMS_STATS[[#This Row],[In Deezer Playlists]],STREAMS_STATS[[#This Row],[In YouTube Playlists]])</f>
        <v>32733</v>
      </c>
      <c r="Q84" s="1">
        <v>138</v>
      </c>
      <c r="R84" s="1">
        <v>-4</v>
      </c>
      <c r="S84" s="1" t="s">
        <v>68</v>
      </c>
      <c r="T84" s="1">
        <v>81</v>
      </c>
      <c r="U84" s="1">
        <v>69</v>
      </c>
      <c r="V84" s="1">
        <v>14</v>
      </c>
      <c r="W84" s="1">
        <v>82</v>
      </c>
      <c r="X84" s="1">
        <v>207</v>
      </c>
      <c r="Y84" s="5">
        <f>STREAMS_STATS[[#This Row],[Duration]]/60</f>
        <v>3.45</v>
      </c>
      <c r="Z84" s="1">
        <v>12</v>
      </c>
      <c r="AA84" s="1">
        <v>7</v>
      </c>
      <c r="AB84" s="1">
        <v>62</v>
      </c>
    </row>
    <row r="85" spans="1:28">
      <c r="A85" t="s">
        <v>218</v>
      </c>
      <c r="B85" s="1" t="s">
        <v>219</v>
      </c>
      <c r="C85" s="1" t="s">
        <v>67</v>
      </c>
      <c r="D85" s="1">
        <v>2016</v>
      </c>
      <c r="E85" s="3">
        <v>1304313953</v>
      </c>
      <c r="F85" s="3" t="str" cm="1">
        <f t="array" ref="F85">_xlfn.IFS(STREAMS_STATS[[#This Row],[Streams]] &gt;= 1000000000, "1B+", STREAMS_STATS[[#This Row],[Streams]] &gt;= 500000000, "500M–1B", STREAMS_STATS[[#This Row],[Streams]] &gt;= 250000000, "250M–500M", TRUE, "Under 250M")</f>
        <v>1B+</v>
      </c>
      <c r="G85" s="1">
        <v>14114</v>
      </c>
      <c r="H85" s="1">
        <v>58</v>
      </c>
      <c r="I85" s="1">
        <v>1</v>
      </c>
      <c r="J85" s="1">
        <v>6504</v>
      </c>
      <c r="K85" s="1">
        <v>1</v>
      </c>
      <c r="L85" s="1">
        <v>67</v>
      </c>
      <c r="M85" s="1">
        <v>11</v>
      </c>
      <c r="N85" s="1">
        <v>37595</v>
      </c>
      <c r="O85" s="1">
        <v>16</v>
      </c>
      <c r="P85" s="2">
        <f>SUM(STREAMS_STATS[[#This Row],[In Spotify Playlists]],STREAMS_STATS[[#This Row],[In Apple Playlists]],STREAMS_STATS[[#This Row],[In Deezer Playlists]],STREAMS_STATS[[#This Row],[In YouTube Playlists]])</f>
        <v>58280</v>
      </c>
      <c r="Q85" s="1">
        <v>113</v>
      </c>
      <c r="R85" s="1">
        <v>-6</v>
      </c>
      <c r="S85" s="1" t="s">
        <v>75</v>
      </c>
      <c r="T85" s="1">
        <v>83</v>
      </c>
      <c r="U85" s="1">
        <v>67</v>
      </c>
      <c r="V85" s="1">
        <v>19</v>
      </c>
      <c r="W85" s="1">
        <v>70</v>
      </c>
      <c r="X85" s="1">
        <v>236</v>
      </c>
      <c r="Y85" s="5">
        <f>STREAMS_STATS[[#This Row],[Duration]]/60</f>
        <v>3.9333333333333331</v>
      </c>
      <c r="Z85" s="1">
        <v>1</v>
      </c>
      <c r="AA85" s="1">
        <v>7</v>
      </c>
      <c r="AB85" s="1">
        <v>79</v>
      </c>
    </row>
    <row r="86" spans="1:28">
      <c r="A86" t="s">
        <v>220</v>
      </c>
      <c r="B86" s="1" t="s">
        <v>221</v>
      </c>
      <c r="C86" s="1" t="s">
        <v>67</v>
      </c>
      <c r="D86" s="1">
        <v>2018</v>
      </c>
      <c r="E86" s="3">
        <v>918915401</v>
      </c>
      <c r="F86" s="3" t="str" cm="1">
        <f t="array" ref="F8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86" s="1">
        <v>8186</v>
      </c>
      <c r="H86" s="1">
        <v>100</v>
      </c>
      <c r="I86" s="1">
        <v>11</v>
      </c>
      <c r="J86" s="1">
        <v>19568</v>
      </c>
      <c r="K86" s="1">
        <v>11</v>
      </c>
      <c r="L86" s="1">
        <v>201</v>
      </c>
      <c r="M86" s="1">
        <v>5</v>
      </c>
      <c r="N86" s="1">
        <v>5571</v>
      </c>
      <c r="O86" s="1">
        <v>126</v>
      </c>
      <c r="P86" s="2">
        <f>SUM(STREAMS_STATS[[#This Row],[In Spotify Playlists]],STREAMS_STATS[[#This Row],[In Apple Playlists]],STREAMS_STATS[[#This Row],[In Deezer Playlists]],STREAMS_STATS[[#This Row],[In YouTube Playlists]])</f>
        <v>33526</v>
      </c>
      <c r="Q86" s="1">
        <v>100</v>
      </c>
      <c r="R86" s="1">
        <v>-6</v>
      </c>
      <c r="S86" s="1" t="s">
        <v>68</v>
      </c>
      <c r="T86" s="1">
        <v>81</v>
      </c>
      <c r="U86" s="1">
        <v>66</v>
      </c>
      <c r="V86" s="1">
        <v>5</v>
      </c>
      <c r="W86" s="1">
        <v>46</v>
      </c>
      <c r="X86" s="1">
        <v>219</v>
      </c>
      <c r="Y86" s="5">
        <f>STREAMS_STATS[[#This Row],[Duration]]/60</f>
        <v>3.65</v>
      </c>
      <c r="Z86" s="1">
        <v>3</v>
      </c>
      <c r="AA86" s="1">
        <v>8</v>
      </c>
      <c r="AB86" s="1">
        <v>76</v>
      </c>
    </row>
    <row r="87" spans="1:28">
      <c r="A87" t="s">
        <v>222</v>
      </c>
      <c r="B87" s="1" t="s">
        <v>223</v>
      </c>
      <c r="C87" s="1" t="s">
        <v>224</v>
      </c>
      <c r="D87" s="1">
        <v>2010</v>
      </c>
      <c r="E87" s="3">
        <v>240684449</v>
      </c>
      <c r="F87" s="3" t="str" cm="1">
        <f t="array" ref="F8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87" s="1">
        <v>1703</v>
      </c>
      <c r="H87" s="1">
        <v>313</v>
      </c>
      <c r="I87" s="1">
        <v>417</v>
      </c>
      <c r="J87" s="1">
        <v>30525</v>
      </c>
      <c r="K87" s="1">
        <v>79</v>
      </c>
      <c r="L87" s="1">
        <v>1823</v>
      </c>
      <c r="M87" s="1">
        <v>135</v>
      </c>
      <c r="N87" s="1">
        <v>21275</v>
      </c>
      <c r="O87" s="1">
        <v>205</v>
      </c>
      <c r="P87" s="2">
        <f>SUM(STREAMS_STATS[[#This Row],[In Spotify Playlists]],STREAMS_STATS[[#This Row],[In Apple Playlists]],STREAMS_STATS[[#This Row],[In Deezer Playlists]],STREAMS_STATS[[#This Row],[In YouTube Playlists]])</f>
        <v>55326</v>
      </c>
      <c r="Q87" s="1">
        <v>80</v>
      </c>
      <c r="R87" s="1">
        <v>-5</v>
      </c>
      <c r="S87" s="1" t="s">
        <v>75</v>
      </c>
      <c r="T87" s="1">
        <v>86</v>
      </c>
      <c r="U87" s="1">
        <v>45</v>
      </c>
      <c r="V87" s="1">
        <v>26</v>
      </c>
      <c r="W87" s="1">
        <v>58</v>
      </c>
      <c r="X87" s="1">
        <v>329</v>
      </c>
      <c r="Y87" s="5">
        <f>STREAMS_STATS[[#This Row],[Duration]]/60</f>
        <v>5.4833333333333334</v>
      </c>
      <c r="Z87" s="1">
        <v>7</v>
      </c>
      <c r="AA87" s="1">
        <v>39</v>
      </c>
      <c r="AB87" s="1">
        <v>49</v>
      </c>
    </row>
    <row r="88" spans="1:28">
      <c r="A88" t="s">
        <v>225</v>
      </c>
      <c r="B88" s="1" t="s">
        <v>226</v>
      </c>
      <c r="C88" s="1" t="s">
        <v>67</v>
      </c>
      <c r="D88" s="1">
        <v>2015</v>
      </c>
      <c r="E88" s="3">
        <v>242767149</v>
      </c>
      <c r="F88" s="3" t="str" cm="1">
        <f t="array" ref="F8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88" s="1">
        <v>1730</v>
      </c>
      <c r="H88" s="1">
        <v>180</v>
      </c>
      <c r="I88" s="1">
        <v>1</v>
      </c>
      <c r="J88" s="1">
        <v>37681</v>
      </c>
      <c r="K88" s="1">
        <v>1</v>
      </c>
      <c r="L88" s="1">
        <v>17</v>
      </c>
      <c r="M88" s="1">
        <v>14</v>
      </c>
      <c r="N88" s="1">
        <v>19649</v>
      </c>
      <c r="O88" s="1">
        <v>27</v>
      </c>
      <c r="P88" s="2">
        <f>SUM(STREAMS_STATS[[#This Row],[In Spotify Playlists]],STREAMS_STATS[[#This Row],[In Apple Playlists]],STREAMS_STATS[[#This Row],[In Deezer Playlists]],STREAMS_STATS[[#This Row],[In YouTube Playlists]])</f>
        <v>59077</v>
      </c>
      <c r="Q88" s="1">
        <v>127</v>
      </c>
      <c r="R88" s="1">
        <v>-3</v>
      </c>
      <c r="S88" s="1" t="s">
        <v>68</v>
      </c>
      <c r="T88" s="1">
        <v>85</v>
      </c>
      <c r="U88" s="1">
        <v>68</v>
      </c>
      <c r="V88" s="1">
        <v>6</v>
      </c>
      <c r="W88" s="1">
        <v>93</v>
      </c>
      <c r="X88" s="1">
        <v>193</v>
      </c>
      <c r="Y88" s="5">
        <f>STREAMS_STATS[[#This Row],[Duration]]/60</f>
        <v>3.2166666666666668</v>
      </c>
      <c r="Z88" s="1">
        <v>1</v>
      </c>
      <c r="AA88" s="1">
        <v>6</v>
      </c>
      <c r="AB88" s="1">
        <v>50</v>
      </c>
    </row>
    <row r="89" spans="1:28">
      <c r="A89" t="s">
        <v>227</v>
      </c>
      <c r="B89" s="1" t="s">
        <v>162</v>
      </c>
      <c r="C89" s="1" t="s">
        <v>67</v>
      </c>
      <c r="D89" s="1">
        <v>2017</v>
      </c>
      <c r="E89" s="3">
        <v>624101957</v>
      </c>
      <c r="F89" s="3" t="str" cm="1">
        <f t="array" ref="F8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89" s="1">
        <v>5184</v>
      </c>
      <c r="H89" s="1">
        <v>418</v>
      </c>
      <c r="I89" s="1">
        <v>7</v>
      </c>
      <c r="J89" s="1">
        <v>10910</v>
      </c>
      <c r="K89" s="1">
        <v>7</v>
      </c>
      <c r="L89" s="1">
        <v>13</v>
      </c>
      <c r="M89" s="1">
        <v>8</v>
      </c>
      <c r="N89" s="1">
        <v>27685</v>
      </c>
      <c r="O89" s="1">
        <v>153</v>
      </c>
      <c r="P89" s="2">
        <f>SUM(STREAMS_STATS[[#This Row],[In Spotify Playlists]],STREAMS_STATS[[#This Row],[In Apple Playlists]],STREAMS_STATS[[#This Row],[In Deezer Playlists]],STREAMS_STATS[[#This Row],[In YouTube Playlists]])</f>
        <v>43792</v>
      </c>
      <c r="Q89" s="1">
        <v>190</v>
      </c>
      <c r="R89" s="1">
        <v>-5</v>
      </c>
      <c r="S89" s="1" t="s">
        <v>68</v>
      </c>
      <c r="T89" s="1">
        <v>80</v>
      </c>
      <c r="U89" s="1">
        <v>45</v>
      </c>
      <c r="V89" s="1">
        <v>20</v>
      </c>
      <c r="W89" s="1">
        <v>47</v>
      </c>
      <c r="X89" s="1">
        <v>238</v>
      </c>
      <c r="Y89" s="5">
        <f>STREAMS_STATS[[#This Row],[Duration]]/60</f>
        <v>3.9666666666666668</v>
      </c>
      <c r="Z89" s="1">
        <v>8</v>
      </c>
      <c r="AA89" s="1">
        <v>17</v>
      </c>
      <c r="AB89" s="1">
        <v>72</v>
      </c>
    </row>
    <row r="90" spans="1:28">
      <c r="A90" t="s">
        <v>228</v>
      </c>
      <c r="B90" s="1" t="s">
        <v>229</v>
      </c>
      <c r="C90" s="1" t="s">
        <v>67</v>
      </c>
      <c r="D90" s="1">
        <v>2016</v>
      </c>
      <c r="E90" s="3">
        <v>240769997</v>
      </c>
      <c r="F90" s="3" t="str" cm="1">
        <f t="array" ref="F9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90" s="1">
        <v>1715</v>
      </c>
      <c r="H90" s="1">
        <v>382</v>
      </c>
      <c r="I90" s="1">
        <v>85</v>
      </c>
      <c r="J90" s="1">
        <v>8470</v>
      </c>
      <c r="K90" s="1">
        <v>85</v>
      </c>
      <c r="L90" s="1">
        <v>238</v>
      </c>
      <c r="M90" s="1">
        <v>1</v>
      </c>
      <c r="N90" s="1">
        <v>24768</v>
      </c>
      <c r="O90" s="1">
        <v>170</v>
      </c>
      <c r="P90" s="2">
        <f>SUM(STREAMS_STATS[[#This Row],[In Spotify Playlists]],STREAMS_STATS[[#This Row],[In Apple Playlists]],STREAMS_STATS[[#This Row],[In Deezer Playlists]],STREAMS_STATS[[#This Row],[In YouTube Playlists]])</f>
        <v>35191</v>
      </c>
      <c r="Q90" s="1">
        <v>108</v>
      </c>
      <c r="R90" s="1">
        <v>-5</v>
      </c>
      <c r="S90" s="1" t="s">
        <v>75</v>
      </c>
      <c r="T90" s="1">
        <v>78</v>
      </c>
      <c r="U90" s="1">
        <v>73</v>
      </c>
      <c r="V90" s="1">
        <v>9</v>
      </c>
      <c r="W90" s="1">
        <v>64</v>
      </c>
      <c r="X90" s="1">
        <v>193</v>
      </c>
      <c r="Y90" s="5">
        <f>STREAMS_STATS[[#This Row],[Duration]]/60</f>
        <v>3.2166666666666668</v>
      </c>
      <c r="Z90" s="1">
        <v>0</v>
      </c>
      <c r="AA90" s="1">
        <v>13</v>
      </c>
      <c r="AB90" s="1">
        <v>50</v>
      </c>
    </row>
    <row r="91" spans="1:28">
      <c r="A91" t="s">
        <v>230</v>
      </c>
      <c r="B91" s="1" t="s">
        <v>99</v>
      </c>
      <c r="C91" s="1" t="s">
        <v>100</v>
      </c>
      <c r="D91" s="1">
        <v>2014</v>
      </c>
      <c r="E91" s="3">
        <v>279717388</v>
      </c>
      <c r="F91" s="3" t="str" cm="1">
        <f t="array" ref="F9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91" s="1">
        <v>2050</v>
      </c>
      <c r="H91" s="1">
        <v>398</v>
      </c>
      <c r="I91" s="1">
        <v>115</v>
      </c>
      <c r="J91" s="1">
        <v>28583</v>
      </c>
      <c r="K91" s="1">
        <v>115</v>
      </c>
      <c r="L91" s="2">
        <v>1212</v>
      </c>
      <c r="M91" s="1">
        <v>12</v>
      </c>
      <c r="N91" s="1">
        <v>6767</v>
      </c>
      <c r="O91" s="1">
        <v>336</v>
      </c>
      <c r="P91" s="2">
        <f>SUM(STREAMS_STATS[[#This Row],[In Spotify Playlists]],STREAMS_STATS[[#This Row],[In Apple Playlists]],STREAMS_STATS[[#This Row],[In Deezer Playlists]],STREAMS_STATS[[#This Row],[In YouTube Playlists]])</f>
        <v>38612</v>
      </c>
      <c r="Q91" s="1">
        <v>174</v>
      </c>
      <c r="R91" s="1">
        <v>-3</v>
      </c>
      <c r="S91" s="1" t="s">
        <v>68</v>
      </c>
      <c r="T91" s="1">
        <v>78</v>
      </c>
      <c r="U91" s="1">
        <v>29</v>
      </c>
      <c r="V91" s="1">
        <v>7</v>
      </c>
      <c r="W91" s="1">
        <v>62</v>
      </c>
      <c r="X91" s="1">
        <v>216</v>
      </c>
      <c r="Y91" s="5">
        <f>STREAMS_STATS[[#This Row],[Duration]]/60</f>
        <v>3.6</v>
      </c>
      <c r="Z91" s="1">
        <v>2</v>
      </c>
      <c r="AA91" s="1">
        <v>7</v>
      </c>
      <c r="AB91" s="1">
        <v>56</v>
      </c>
    </row>
    <row r="92" spans="1:28">
      <c r="A92" t="s">
        <v>231</v>
      </c>
      <c r="B92" s="1" t="s">
        <v>190</v>
      </c>
      <c r="C92" s="1" t="s">
        <v>67</v>
      </c>
      <c r="D92" s="1">
        <v>2016</v>
      </c>
      <c r="E92" s="3">
        <v>263453310</v>
      </c>
      <c r="F92" s="3" t="str" cm="1">
        <f t="array" ref="F9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92" s="1">
        <v>1950</v>
      </c>
      <c r="H92" s="1">
        <v>179</v>
      </c>
      <c r="I92" s="1">
        <v>3</v>
      </c>
      <c r="J92" s="1">
        <v>33514</v>
      </c>
      <c r="K92" s="1">
        <v>3</v>
      </c>
      <c r="L92" s="1">
        <v>30</v>
      </c>
      <c r="M92" s="1">
        <v>38</v>
      </c>
      <c r="N92" s="1">
        <v>34060</v>
      </c>
      <c r="O92" s="1">
        <v>263</v>
      </c>
      <c r="P92" s="2">
        <f>SUM(STREAMS_STATS[[#This Row],[In Spotify Playlists]],STREAMS_STATS[[#This Row],[In Apple Playlists]],STREAMS_STATS[[#This Row],[In Deezer Playlists]],STREAMS_STATS[[#This Row],[In YouTube Playlists]])</f>
        <v>69554</v>
      </c>
      <c r="Q92" s="1">
        <v>82</v>
      </c>
      <c r="R92" s="1">
        <v>-6</v>
      </c>
      <c r="S92" s="1" t="s">
        <v>75</v>
      </c>
      <c r="T92" s="1">
        <v>54</v>
      </c>
      <c r="U92" s="1">
        <v>62</v>
      </c>
      <c r="V92" s="1">
        <v>13</v>
      </c>
      <c r="W92" s="1">
        <v>20</v>
      </c>
      <c r="X92" s="1">
        <v>187</v>
      </c>
      <c r="Y92" s="5">
        <f>STREAMS_STATS[[#This Row],[Duration]]/60</f>
        <v>3.1166666666666667</v>
      </c>
      <c r="Z92" s="1">
        <v>68</v>
      </c>
      <c r="AA92" s="1">
        <v>8</v>
      </c>
      <c r="AB92" s="1">
        <v>54</v>
      </c>
    </row>
    <row r="93" spans="1:28">
      <c r="A93" t="s">
        <v>232</v>
      </c>
      <c r="B93" s="1" t="s">
        <v>99</v>
      </c>
      <c r="C93" s="1" t="s">
        <v>100</v>
      </c>
      <c r="D93" s="1">
        <v>2016</v>
      </c>
      <c r="E93" s="3">
        <v>357580552</v>
      </c>
      <c r="F93" s="3" t="str" cm="1">
        <f t="array" ref="F9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93" s="1">
        <v>2795</v>
      </c>
      <c r="H93" s="1">
        <v>149</v>
      </c>
      <c r="I93" s="1">
        <v>2</v>
      </c>
      <c r="J93" s="1">
        <v>4570</v>
      </c>
      <c r="K93" s="1">
        <v>2</v>
      </c>
      <c r="L93" s="1">
        <v>11</v>
      </c>
      <c r="M93" s="1">
        <v>34</v>
      </c>
      <c r="N93" s="1">
        <v>20790</v>
      </c>
      <c r="O93" s="1">
        <v>269</v>
      </c>
      <c r="P93" s="2">
        <f>SUM(STREAMS_STATS[[#This Row],[In Spotify Playlists]],STREAMS_STATS[[#This Row],[In Apple Playlists]],STREAMS_STATS[[#This Row],[In Deezer Playlists]],STREAMS_STATS[[#This Row],[In YouTube Playlists]])</f>
        <v>28166</v>
      </c>
      <c r="Q93" s="1">
        <v>90</v>
      </c>
      <c r="R93" s="1">
        <v>-5</v>
      </c>
      <c r="S93" s="1" t="s">
        <v>75</v>
      </c>
      <c r="T93" s="1">
        <v>80</v>
      </c>
      <c r="U93" s="1">
        <v>59</v>
      </c>
      <c r="V93" s="1">
        <v>8</v>
      </c>
      <c r="W93" s="1">
        <v>73</v>
      </c>
      <c r="X93" s="1">
        <v>225</v>
      </c>
      <c r="Y93" s="5">
        <f>STREAMS_STATS[[#This Row],[Duration]]/60</f>
        <v>3.75</v>
      </c>
      <c r="Z93" s="1">
        <v>6</v>
      </c>
      <c r="AA93" s="1">
        <v>22</v>
      </c>
      <c r="AB93" s="1">
        <v>64</v>
      </c>
    </row>
    <row r="94" spans="1:28">
      <c r="A94" t="s">
        <v>233</v>
      </c>
      <c r="B94" s="1" t="s">
        <v>39</v>
      </c>
      <c r="C94" s="1" t="s">
        <v>115</v>
      </c>
      <c r="D94" s="1">
        <v>2011</v>
      </c>
      <c r="E94" s="3">
        <v>295152154</v>
      </c>
      <c r="F94" s="3" t="str" cm="1">
        <f t="array" ref="F9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94" s="1">
        <v>2235</v>
      </c>
      <c r="H94" s="1">
        <v>105</v>
      </c>
      <c r="I94" s="1">
        <v>323</v>
      </c>
      <c r="J94" s="1">
        <v>16571</v>
      </c>
      <c r="K94" s="1">
        <v>64</v>
      </c>
      <c r="L94" s="1">
        <v>9862</v>
      </c>
      <c r="M94" s="1">
        <v>128</v>
      </c>
      <c r="N94" s="1">
        <v>1104</v>
      </c>
      <c r="O94" s="1">
        <v>179</v>
      </c>
      <c r="P94" s="2">
        <f>SUM(STREAMS_STATS[[#This Row],[In Spotify Playlists]],STREAMS_STATS[[#This Row],[In Apple Playlists]],STREAMS_STATS[[#This Row],[In Deezer Playlists]],STREAMS_STATS[[#This Row],[In YouTube Playlists]])</f>
        <v>29772</v>
      </c>
      <c r="Q94" s="1">
        <v>80</v>
      </c>
      <c r="R94" s="1">
        <v>-4</v>
      </c>
      <c r="S94" s="1" t="s">
        <v>68</v>
      </c>
      <c r="T94" s="1">
        <v>91</v>
      </c>
      <c r="U94" s="1">
        <v>58</v>
      </c>
      <c r="V94" s="1">
        <v>29</v>
      </c>
      <c r="W94" s="1">
        <v>73</v>
      </c>
      <c r="X94" s="1">
        <v>262</v>
      </c>
      <c r="Y94" s="5">
        <f>STREAMS_STATS[[#This Row],[Duration]]/60</f>
        <v>4.3666666666666663</v>
      </c>
      <c r="Z94" s="1">
        <v>2</v>
      </c>
      <c r="AA94" s="1">
        <v>4</v>
      </c>
      <c r="AB94" s="1">
        <v>58</v>
      </c>
    </row>
    <row r="95" spans="1:28">
      <c r="A95" t="s">
        <v>234</v>
      </c>
      <c r="B95" s="1" t="s">
        <v>117</v>
      </c>
      <c r="C95" s="1" t="s">
        <v>67</v>
      </c>
      <c r="D95" s="1">
        <v>2018</v>
      </c>
      <c r="E95" s="3">
        <v>698086140</v>
      </c>
      <c r="F95" s="3" t="str" cm="1">
        <f t="array" ref="F9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95" s="1">
        <v>6074</v>
      </c>
      <c r="H95" s="1">
        <v>339</v>
      </c>
      <c r="I95" s="1">
        <v>43</v>
      </c>
      <c r="J95" s="1">
        <v>13067</v>
      </c>
      <c r="K95" s="1">
        <v>43</v>
      </c>
      <c r="L95" s="1">
        <v>45</v>
      </c>
      <c r="M95" s="1">
        <v>20</v>
      </c>
      <c r="N95" s="1">
        <v>5122</v>
      </c>
      <c r="O95" s="1">
        <v>79</v>
      </c>
      <c r="P95" s="2">
        <f>SUM(STREAMS_STATS[[#This Row],[In Spotify Playlists]],STREAMS_STATS[[#This Row],[In Apple Playlists]],STREAMS_STATS[[#This Row],[In Deezer Playlists]],STREAMS_STATS[[#This Row],[In YouTube Playlists]])</f>
        <v>24308</v>
      </c>
      <c r="Q95" s="1">
        <v>129</v>
      </c>
      <c r="R95" s="1">
        <v>-5</v>
      </c>
      <c r="S95" s="1" t="s">
        <v>75</v>
      </c>
      <c r="T95" s="1">
        <v>73</v>
      </c>
      <c r="U95" s="1">
        <v>69</v>
      </c>
      <c r="V95" s="1">
        <v>11</v>
      </c>
      <c r="W95" s="1">
        <v>48</v>
      </c>
      <c r="X95" s="1">
        <v>192</v>
      </c>
      <c r="Y95" s="5">
        <f>STREAMS_STATS[[#This Row],[Duration]]/60</f>
        <v>3.2</v>
      </c>
      <c r="Z95" s="1">
        <v>28</v>
      </c>
      <c r="AA95" s="1">
        <v>37</v>
      </c>
      <c r="AB95" s="1">
        <v>73</v>
      </c>
    </row>
    <row r="96" spans="1:28">
      <c r="A96" t="s">
        <v>235</v>
      </c>
      <c r="B96" s="1" t="s">
        <v>236</v>
      </c>
      <c r="C96" s="1" t="s">
        <v>237</v>
      </c>
      <c r="D96" s="1">
        <v>2013</v>
      </c>
      <c r="E96" s="3">
        <v>863756573</v>
      </c>
      <c r="F96" s="3" t="str" cm="1">
        <f t="array" ref="F9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96" s="1">
        <v>7830</v>
      </c>
      <c r="H96" s="1">
        <v>289</v>
      </c>
      <c r="I96" s="1">
        <v>148</v>
      </c>
      <c r="J96" s="1">
        <v>27103</v>
      </c>
      <c r="K96" s="1">
        <v>148</v>
      </c>
      <c r="L96" s="2">
        <v>2703</v>
      </c>
      <c r="M96" s="1">
        <v>22</v>
      </c>
      <c r="N96" s="1">
        <v>30362</v>
      </c>
      <c r="O96" s="1">
        <v>3</v>
      </c>
      <c r="P96" s="2">
        <f>SUM(STREAMS_STATS[[#This Row],[In Spotify Playlists]],STREAMS_STATS[[#This Row],[In Apple Playlists]],STREAMS_STATS[[#This Row],[In Deezer Playlists]],STREAMS_STATS[[#This Row],[In YouTube Playlists]])</f>
        <v>67998</v>
      </c>
      <c r="Q96" s="1">
        <v>128</v>
      </c>
      <c r="R96" s="1">
        <v>-3</v>
      </c>
      <c r="S96" s="1" t="s">
        <v>68</v>
      </c>
      <c r="T96" s="1">
        <v>78</v>
      </c>
      <c r="U96" s="1">
        <v>51</v>
      </c>
      <c r="V96" s="1">
        <v>7</v>
      </c>
      <c r="W96" s="1">
        <v>18</v>
      </c>
      <c r="X96" s="1">
        <v>271</v>
      </c>
      <c r="Y96" s="5">
        <f>STREAMS_STATS[[#This Row],[Duration]]/60</f>
        <v>4.5166666666666666</v>
      </c>
      <c r="Z96" s="1">
        <v>4</v>
      </c>
      <c r="AA96" s="1">
        <v>7</v>
      </c>
      <c r="AB96" s="1">
        <v>75</v>
      </c>
    </row>
    <row r="97" spans="1:28">
      <c r="A97" t="s">
        <v>238</v>
      </c>
      <c r="B97" s="1" t="s">
        <v>229</v>
      </c>
      <c r="C97" s="1" t="s">
        <v>67</v>
      </c>
      <c r="D97" s="1">
        <v>2016</v>
      </c>
      <c r="E97" s="3">
        <v>651732901</v>
      </c>
      <c r="F97" s="3" t="str" cm="1">
        <f t="array" ref="F9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97" s="1">
        <v>5290</v>
      </c>
      <c r="H97" s="1">
        <v>157</v>
      </c>
      <c r="I97" s="1">
        <v>70</v>
      </c>
      <c r="J97" s="1">
        <v>8810</v>
      </c>
      <c r="K97" s="1">
        <v>70</v>
      </c>
      <c r="L97" s="1">
        <v>142</v>
      </c>
      <c r="M97" s="1">
        <v>20</v>
      </c>
      <c r="N97" s="1">
        <v>22076</v>
      </c>
      <c r="O97" s="1">
        <v>290</v>
      </c>
      <c r="P97" s="2">
        <f>SUM(STREAMS_STATS[[#This Row],[In Spotify Playlists]],STREAMS_STATS[[#This Row],[In Apple Playlists]],STREAMS_STATS[[#This Row],[In Deezer Playlists]],STREAMS_STATS[[#This Row],[In YouTube Playlists]])</f>
        <v>36318</v>
      </c>
      <c r="Q97" s="1">
        <v>124</v>
      </c>
      <c r="R97" s="1">
        <v>-5</v>
      </c>
      <c r="S97" s="1" t="s">
        <v>75</v>
      </c>
      <c r="T97" s="1">
        <v>62</v>
      </c>
      <c r="U97" s="1">
        <v>65</v>
      </c>
      <c r="V97" s="1">
        <v>14</v>
      </c>
      <c r="W97" s="1">
        <v>40</v>
      </c>
      <c r="X97" s="1">
        <v>234</v>
      </c>
      <c r="Y97" s="5">
        <f>STREAMS_STATS[[#This Row],[Duration]]/60</f>
        <v>3.9</v>
      </c>
      <c r="Z97" s="1">
        <v>25</v>
      </c>
      <c r="AA97" s="1">
        <v>8</v>
      </c>
      <c r="AB97" s="1">
        <v>72</v>
      </c>
    </row>
    <row r="98" spans="1:28">
      <c r="A98" t="s">
        <v>239</v>
      </c>
      <c r="B98" s="1" t="s">
        <v>35</v>
      </c>
      <c r="C98" s="1" t="s">
        <v>24</v>
      </c>
      <c r="D98" s="1">
        <v>2017</v>
      </c>
      <c r="E98" s="3">
        <v>2355719893</v>
      </c>
      <c r="F98" s="3" t="str" cm="1">
        <f t="array" ref="F98">_xlfn.IFS(STREAMS_STATS[[#This Row],[Streams]] &gt;= 1000000000, "1B+", STREAMS_STATS[[#This Row],[Streams]] &gt;= 500000000, "500M–1B", STREAMS_STATS[[#This Row],[Streams]] &gt;= 250000000, "250M–500M", TRUE, "Under 250M")</f>
        <v>1B+</v>
      </c>
      <c r="G98" s="1">
        <v>33898</v>
      </c>
      <c r="H98" s="1">
        <v>2</v>
      </c>
      <c r="I98" s="1">
        <v>19</v>
      </c>
      <c r="J98" s="1">
        <v>7756</v>
      </c>
      <c r="K98" s="1">
        <v>19</v>
      </c>
      <c r="L98" s="1">
        <v>135</v>
      </c>
      <c r="M98" s="1">
        <v>49</v>
      </c>
      <c r="N98" s="1">
        <v>11664</v>
      </c>
      <c r="O98" s="1">
        <v>295</v>
      </c>
      <c r="P98" s="2">
        <f>SUM(STREAMS_STATS[[#This Row],[In Spotify Playlists]],STREAMS_STATS[[#This Row],[In Apple Playlists]],STREAMS_STATS[[#This Row],[In Deezer Playlists]],STREAMS_STATS[[#This Row],[In YouTube Playlists]])</f>
        <v>53453</v>
      </c>
      <c r="Q98" s="1">
        <v>95</v>
      </c>
      <c r="R98" s="1">
        <v>-6</v>
      </c>
      <c r="S98" s="1" t="s">
        <v>68</v>
      </c>
      <c r="T98" s="1">
        <v>52</v>
      </c>
      <c r="U98" s="1">
        <v>75</v>
      </c>
      <c r="V98" s="1">
        <v>11</v>
      </c>
      <c r="W98" s="1">
        <v>66</v>
      </c>
      <c r="X98" s="1">
        <v>245</v>
      </c>
      <c r="Y98" s="5">
        <f>STREAMS_STATS[[#This Row],[Duration]]/60</f>
        <v>4.083333333333333</v>
      </c>
      <c r="Z98" s="1">
        <v>41</v>
      </c>
      <c r="AA98" s="1">
        <v>3</v>
      </c>
      <c r="AB98" s="1">
        <v>86</v>
      </c>
    </row>
    <row r="99" spans="1:28">
      <c r="A99" t="s">
        <v>240</v>
      </c>
      <c r="B99" s="1" t="s">
        <v>241</v>
      </c>
      <c r="C99" s="1" t="s">
        <v>67</v>
      </c>
      <c r="D99" s="1">
        <v>2013</v>
      </c>
      <c r="E99" s="3">
        <v>307752576</v>
      </c>
      <c r="F99" s="3" t="str" cm="1">
        <f t="array" ref="F9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99" s="1">
        <v>2415</v>
      </c>
      <c r="H99" s="1">
        <v>247</v>
      </c>
      <c r="I99" s="1">
        <v>1</v>
      </c>
      <c r="J99" s="1">
        <v>12386</v>
      </c>
      <c r="K99" s="1">
        <v>1</v>
      </c>
      <c r="L99" s="1">
        <v>6</v>
      </c>
      <c r="M99" s="1">
        <v>13</v>
      </c>
      <c r="N99" s="1">
        <v>16178</v>
      </c>
      <c r="O99" s="1">
        <v>129</v>
      </c>
      <c r="P99" s="2">
        <f>SUM(STREAMS_STATS[[#This Row],[In Spotify Playlists]],STREAMS_STATS[[#This Row],[In Apple Playlists]],STREAMS_STATS[[#This Row],[In Deezer Playlists]],STREAMS_STATS[[#This Row],[In YouTube Playlists]])</f>
        <v>30985</v>
      </c>
      <c r="Q99" s="1">
        <v>130</v>
      </c>
      <c r="R99" s="1">
        <v>-8</v>
      </c>
      <c r="S99" s="1" t="s">
        <v>68</v>
      </c>
      <c r="T99" s="1">
        <v>23</v>
      </c>
      <c r="U99" s="1">
        <v>45</v>
      </c>
      <c r="V99" s="1">
        <v>11</v>
      </c>
      <c r="W99" s="1">
        <v>23</v>
      </c>
      <c r="X99" s="1">
        <v>221</v>
      </c>
      <c r="Y99" s="5">
        <f>STREAMS_STATS[[#This Row],[Duration]]/60</f>
        <v>3.6833333333333331</v>
      </c>
      <c r="Z99" s="1">
        <v>92</v>
      </c>
      <c r="AA99" s="1">
        <v>4</v>
      </c>
      <c r="AB99" s="1">
        <v>60</v>
      </c>
    </row>
    <row r="100" spans="1:28">
      <c r="A100" t="s">
        <v>242</v>
      </c>
      <c r="B100" s="1" t="s">
        <v>243</v>
      </c>
      <c r="C100" s="1" t="s">
        <v>67</v>
      </c>
      <c r="D100" s="1">
        <v>2010</v>
      </c>
      <c r="E100" s="3">
        <v>782369383</v>
      </c>
      <c r="F100" s="3" t="str" cm="1">
        <f t="array" ref="F10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00" s="1">
        <v>6804</v>
      </c>
      <c r="H100" s="1">
        <v>394</v>
      </c>
      <c r="I100" s="1">
        <v>178</v>
      </c>
      <c r="J100" s="1">
        <v>19495</v>
      </c>
      <c r="K100" s="1">
        <v>63</v>
      </c>
      <c r="L100" s="1">
        <v>2696</v>
      </c>
      <c r="M100" s="1">
        <v>111</v>
      </c>
      <c r="N100" s="1">
        <v>34460</v>
      </c>
      <c r="O100" s="1">
        <v>333</v>
      </c>
      <c r="P100" s="2">
        <f>SUM(STREAMS_STATS[[#This Row],[In Spotify Playlists]],STREAMS_STATS[[#This Row],[In Apple Playlists]],STREAMS_STATS[[#This Row],[In Deezer Playlists]],STREAMS_STATS[[#This Row],[In YouTube Playlists]])</f>
        <v>63455</v>
      </c>
      <c r="Q100" s="1">
        <v>128</v>
      </c>
      <c r="R100" s="1">
        <v>-4</v>
      </c>
      <c r="S100" s="1" t="s">
        <v>75</v>
      </c>
      <c r="T100" s="1">
        <v>87</v>
      </c>
      <c r="U100" s="1">
        <v>62</v>
      </c>
      <c r="V100" s="1">
        <v>6</v>
      </c>
      <c r="W100" s="1">
        <v>47</v>
      </c>
      <c r="X100" s="1">
        <v>235</v>
      </c>
      <c r="Y100" s="5">
        <f>STREAMS_STATS[[#This Row],[Duration]]/60</f>
        <v>3.9166666666666665</v>
      </c>
      <c r="Z100" s="1">
        <v>3</v>
      </c>
      <c r="AA100" s="1">
        <v>3</v>
      </c>
      <c r="AB100" s="1">
        <v>73</v>
      </c>
    </row>
    <row r="101" spans="1:28">
      <c r="A101" t="s">
        <v>244</v>
      </c>
      <c r="B101" s="1" t="s">
        <v>32</v>
      </c>
      <c r="C101" s="1" t="s">
        <v>25</v>
      </c>
      <c r="D101" s="1">
        <v>2017</v>
      </c>
      <c r="E101" s="3">
        <v>621660989</v>
      </c>
      <c r="F101" s="3" t="str" cm="1">
        <f t="array" ref="F10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01" s="1">
        <v>5153</v>
      </c>
      <c r="H101" s="1">
        <v>340</v>
      </c>
      <c r="I101" s="1">
        <v>50</v>
      </c>
      <c r="J101" s="1">
        <v>11958</v>
      </c>
      <c r="K101" s="1">
        <v>94</v>
      </c>
      <c r="L101" s="1">
        <v>24</v>
      </c>
      <c r="M101" s="1">
        <v>18</v>
      </c>
      <c r="N101" s="1">
        <v>21715</v>
      </c>
      <c r="O101" s="1">
        <v>64</v>
      </c>
      <c r="P101" s="2">
        <f>SUM(STREAMS_STATS[[#This Row],[In Spotify Playlists]],STREAMS_STATS[[#This Row],[In Apple Playlists]],STREAMS_STATS[[#This Row],[In Deezer Playlists]],STREAMS_STATS[[#This Row],[In YouTube Playlists]])</f>
        <v>38850</v>
      </c>
      <c r="Q101" s="1">
        <v>100</v>
      </c>
      <c r="R101" s="1">
        <v>-6</v>
      </c>
      <c r="S101" s="1" t="s">
        <v>68</v>
      </c>
      <c r="T101" s="1">
        <v>72</v>
      </c>
      <c r="U101" s="1">
        <v>69</v>
      </c>
      <c r="V101" s="1">
        <v>5</v>
      </c>
      <c r="W101" s="1">
        <v>41</v>
      </c>
      <c r="X101" s="1">
        <v>234</v>
      </c>
      <c r="Y101" s="5">
        <f>STREAMS_STATS[[#This Row],[Duration]]/60</f>
        <v>3.9</v>
      </c>
      <c r="Z101" s="1">
        <v>14</v>
      </c>
      <c r="AA101" s="1">
        <v>11</v>
      </c>
      <c r="AB101" s="1">
        <v>72</v>
      </c>
    </row>
    <row r="102" spans="1:28">
      <c r="A102" t="s">
        <v>245</v>
      </c>
      <c r="B102" s="1" t="s">
        <v>246</v>
      </c>
      <c r="C102" s="1" t="s">
        <v>67</v>
      </c>
      <c r="D102" s="1">
        <v>2016</v>
      </c>
      <c r="E102" s="3">
        <v>711366595</v>
      </c>
      <c r="F102" s="3" t="str" cm="1">
        <f t="array" ref="F10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02" s="1">
        <v>6135</v>
      </c>
      <c r="H102" s="1">
        <v>280</v>
      </c>
      <c r="I102" s="1">
        <v>1</v>
      </c>
      <c r="J102" s="1">
        <v>20475</v>
      </c>
      <c r="K102" s="1">
        <v>1</v>
      </c>
      <c r="L102" s="1">
        <v>49</v>
      </c>
      <c r="M102" s="1">
        <v>26</v>
      </c>
      <c r="N102" s="1">
        <v>4191</v>
      </c>
      <c r="O102" s="1">
        <v>274</v>
      </c>
      <c r="P102" s="2">
        <f>SUM(STREAMS_STATS[[#This Row],[In Spotify Playlists]],STREAMS_STATS[[#This Row],[In Apple Playlists]],STREAMS_STATS[[#This Row],[In Deezer Playlists]],STREAMS_STATS[[#This Row],[In YouTube Playlists]])</f>
        <v>30850</v>
      </c>
      <c r="Q102" s="1">
        <v>93</v>
      </c>
      <c r="R102" s="1">
        <v>-5</v>
      </c>
      <c r="S102" s="1" t="s">
        <v>75</v>
      </c>
      <c r="T102" s="1">
        <v>80</v>
      </c>
      <c r="U102" s="1">
        <v>61</v>
      </c>
      <c r="V102" s="1">
        <v>16</v>
      </c>
      <c r="W102" s="1">
        <v>50</v>
      </c>
      <c r="X102" s="1">
        <v>185</v>
      </c>
      <c r="Y102" s="5">
        <f>STREAMS_STATS[[#This Row],[Duration]]/60</f>
        <v>3.0833333333333335</v>
      </c>
      <c r="Z102" s="1">
        <v>7</v>
      </c>
      <c r="AA102" s="1">
        <v>4</v>
      </c>
      <c r="AB102" s="1">
        <v>73</v>
      </c>
    </row>
    <row r="103" spans="1:28">
      <c r="A103" t="s">
        <v>247</v>
      </c>
      <c r="B103" s="1" t="s">
        <v>140</v>
      </c>
      <c r="C103" s="1" t="s">
        <v>67</v>
      </c>
      <c r="D103" s="1">
        <v>2013</v>
      </c>
      <c r="E103" s="3">
        <v>287201015</v>
      </c>
      <c r="F103" s="3" t="str" cm="1">
        <f t="array" ref="F10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03" s="1">
        <v>2163</v>
      </c>
      <c r="H103" s="1">
        <v>161</v>
      </c>
      <c r="I103" s="1">
        <v>97</v>
      </c>
      <c r="J103" s="1">
        <v>31499</v>
      </c>
      <c r="K103" s="1">
        <v>97</v>
      </c>
      <c r="L103" s="2">
        <v>3394</v>
      </c>
      <c r="M103" s="1">
        <v>11</v>
      </c>
      <c r="N103" s="1">
        <v>1045</v>
      </c>
      <c r="O103" s="1">
        <v>149</v>
      </c>
      <c r="P103" s="2">
        <f>SUM(STREAMS_STATS[[#This Row],[In Spotify Playlists]],STREAMS_STATS[[#This Row],[In Apple Playlists]],STREAMS_STATS[[#This Row],[In Deezer Playlists]],STREAMS_STATS[[#This Row],[In YouTube Playlists]])</f>
        <v>38101</v>
      </c>
      <c r="Q103" s="1">
        <v>80</v>
      </c>
      <c r="R103" s="1">
        <v>-4</v>
      </c>
      <c r="S103" s="1" t="s">
        <v>75</v>
      </c>
      <c r="T103" s="1">
        <v>79</v>
      </c>
      <c r="U103" s="1">
        <v>55</v>
      </c>
      <c r="V103" s="1">
        <v>10</v>
      </c>
      <c r="W103" s="1">
        <v>58</v>
      </c>
      <c r="X103" s="1">
        <v>232</v>
      </c>
      <c r="Y103" s="5">
        <f>STREAMS_STATS[[#This Row],[Duration]]/60</f>
        <v>3.8666666666666667</v>
      </c>
      <c r="Z103" s="1">
        <v>1</v>
      </c>
      <c r="AA103" s="1">
        <v>5</v>
      </c>
      <c r="AB103" s="1">
        <v>57</v>
      </c>
    </row>
    <row r="104" spans="1:28">
      <c r="A104" t="s">
        <v>248</v>
      </c>
      <c r="B104" s="1" t="s">
        <v>249</v>
      </c>
      <c r="C104" s="1" t="s">
        <v>67</v>
      </c>
      <c r="D104" s="1">
        <v>2014</v>
      </c>
      <c r="E104" s="3">
        <v>301242089</v>
      </c>
      <c r="F104" s="3" t="str" cm="1">
        <f t="array" ref="F10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04" s="1">
        <v>2308</v>
      </c>
      <c r="H104" s="1">
        <v>407</v>
      </c>
      <c r="I104" s="1">
        <v>15</v>
      </c>
      <c r="J104" s="1">
        <v>14623</v>
      </c>
      <c r="K104" s="1">
        <v>15</v>
      </c>
      <c r="L104" s="1">
        <v>1</v>
      </c>
      <c r="M104" s="1">
        <v>10</v>
      </c>
      <c r="N104" s="1">
        <v>12572</v>
      </c>
      <c r="O104" s="1">
        <v>218</v>
      </c>
      <c r="P104" s="2">
        <f>SUM(STREAMS_STATS[[#This Row],[In Spotify Playlists]],STREAMS_STATS[[#This Row],[In Apple Playlists]],STREAMS_STATS[[#This Row],[In Deezer Playlists]],STREAMS_STATS[[#This Row],[In YouTube Playlists]])</f>
        <v>29504</v>
      </c>
      <c r="Q104" s="1">
        <v>120</v>
      </c>
      <c r="R104" s="1">
        <v>-6</v>
      </c>
      <c r="S104" s="1" t="s">
        <v>68</v>
      </c>
      <c r="T104" s="1">
        <v>80</v>
      </c>
      <c r="U104" s="1">
        <v>93</v>
      </c>
      <c r="V104" s="1">
        <v>10</v>
      </c>
      <c r="W104" s="1">
        <v>90</v>
      </c>
      <c r="X104" s="1">
        <v>202</v>
      </c>
      <c r="Y104" s="5">
        <f>STREAMS_STATS[[#This Row],[Duration]]/60</f>
        <v>3.3666666666666667</v>
      </c>
      <c r="Z104" s="1">
        <v>27</v>
      </c>
      <c r="AA104" s="1">
        <v>8</v>
      </c>
      <c r="AB104" s="1">
        <v>59</v>
      </c>
    </row>
    <row r="105" spans="1:28">
      <c r="A105" t="s">
        <v>250</v>
      </c>
      <c r="B105" s="1" t="s">
        <v>37</v>
      </c>
      <c r="C105" s="1" t="s">
        <v>134</v>
      </c>
      <c r="D105" s="1">
        <v>2015</v>
      </c>
      <c r="E105" s="3">
        <v>655466831</v>
      </c>
      <c r="F105" s="3" t="str" cm="1">
        <f t="array" ref="F10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05" s="1">
        <v>5342</v>
      </c>
      <c r="H105" s="1">
        <v>234</v>
      </c>
      <c r="I105" s="1">
        <v>100</v>
      </c>
      <c r="J105" s="1">
        <v>36292</v>
      </c>
      <c r="K105" s="1">
        <v>100</v>
      </c>
      <c r="L105" s="1">
        <v>59</v>
      </c>
      <c r="M105" s="1">
        <v>1</v>
      </c>
      <c r="N105" s="1">
        <v>18865</v>
      </c>
      <c r="O105" s="1">
        <v>122</v>
      </c>
      <c r="P105" s="2">
        <f>SUM(STREAMS_STATS[[#This Row],[In Spotify Playlists]],STREAMS_STATS[[#This Row],[In Apple Playlists]],STREAMS_STATS[[#This Row],[In Deezer Playlists]],STREAMS_STATS[[#This Row],[In YouTube Playlists]])</f>
        <v>60558</v>
      </c>
      <c r="Q105" s="1">
        <v>95</v>
      </c>
      <c r="R105" s="1">
        <v>-5</v>
      </c>
      <c r="S105" s="1" t="s">
        <v>68</v>
      </c>
      <c r="T105" s="1">
        <v>80</v>
      </c>
      <c r="U105" s="1">
        <v>59</v>
      </c>
      <c r="V105" s="1">
        <v>8</v>
      </c>
      <c r="W105" s="1">
        <v>43</v>
      </c>
      <c r="X105" s="1">
        <v>208</v>
      </c>
      <c r="Y105" s="5">
        <f>STREAMS_STATS[[#This Row],[Duration]]/60</f>
        <v>3.4666666666666668</v>
      </c>
      <c r="Z105" s="1">
        <v>13</v>
      </c>
      <c r="AA105" s="1">
        <v>6</v>
      </c>
      <c r="AB105" s="1">
        <v>72</v>
      </c>
    </row>
    <row r="106" spans="1:28">
      <c r="A106" t="s">
        <v>251</v>
      </c>
      <c r="B106" s="1" t="s">
        <v>252</v>
      </c>
      <c r="C106" s="1" t="s">
        <v>253</v>
      </c>
      <c r="D106" s="1">
        <v>2019</v>
      </c>
      <c r="E106" s="3">
        <v>888046992</v>
      </c>
      <c r="F106" s="3" t="str" cm="1">
        <f t="array" ref="F10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06" s="1">
        <v>8084</v>
      </c>
      <c r="H106" s="1">
        <v>88</v>
      </c>
      <c r="I106" s="1">
        <v>52</v>
      </c>
      <c r="J106" s="1">
        <v>26208</v>
      </c>
      <c r="K106" s="1">
        <v>52</v>
      </c>
      <c r="L106" s="1">
        <v>612</v>
      </c>
      <c r="M106" s="1">
        <v>6</v>
      </c>
      <c r="N106" s="1">
        <v>29238</v>
      </c>
      <c r="O106" s="1">
        <v>384</v>
      </c>
      <c r="P106" s="2">
        <f>SUM(STREAMS_STATS[[#This Row],[In Spotify Playlists]],STREAMS_STATS[[#This Row],[In Apple Playlists]],STREAMS_STATS[[#This Row],[In Deezer Playlists]],STREAMS_STATS[[#This Row],[In YouTube Playlists]])</f>
        <v>64142</v>
      </c>
      <c r="Q106" s="1">
        <v>94</v>
      </c>
      <c r="R106" s="1">
        <v>-3</v>
      </c>
      <c r="S106" s="1" t="s">
        <v>75</v>
      </c>
      <c r="T106" s="1">
        <v>87</v>
      </c>
      <c r="U106" s="1">
        <v>74</v>
      </c>
      <c r="V106" s="1">
        <v>4</v>
      </c>
      <c r="W106" s="1">
        <v>61</v>
      </c>
      <c r="X106" s="1">
        <v>181</v>
      </c>
      <c r="Y106" s="5">
        <f>STREAMS_STATS[[#This Row],[Duration]]/60</f>
        <v>3.0166666666666666</v>
      </c>
      <c r="Z106" s="1">
        <v>17</v>
      </c>
      <c r="AA106" s="1">
        <v>5</v>
      </c>
      <c r="AB106" s="1">
        <v>76</v>
      </c>
    </row>
    <row r="107" spans="1:28">
      <c r="A107" t="s">
        <v>254</v>
      </c>
      <c r="B107" s="1" t="s">
        <v>179</v>
      </c>
      <c r="C107" s="1" t="s">
        <v>67</v>
      </c>
      <c r="D107" s="1">
        <v>2016</v>
      </c>
      <c r="E107" s="3">
        <v>843957510</v>
      </c>
      <c r="F107" s="3" t="str" cm="1">
        <f t="array" ref="F10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07" s="1">
        <v>7655</v>
      </c>
      <c r="H107" s="1">
        <v>389</v>
      </c>
      <c r="I107" s="1">
        <v>48</v>
      </c>
      <c r="J107" s="1">
        <v>24263</v>
      </c>
      <c r="K107" s="1">
        <v>48</v>
      </c>
      <c r="L107" s="1">
        <v>20</v>
      </c>
      <c r="M107" s="1">
        <v>9</v>
      </c>
      <c r="N107" s="1">
        <v>36757</v>
      </c>
      <c r="O107" s="1">
        <v>98</v>
      </c>
      <c r="P107" s="2">
        <f>SUM(STREAMS_STATS[[#This Row],[In Spotify Playlists]],STREAMS_STATS[[#This Row],[In Apple Playlists]],STREAMS_STATS[[#This Row],[In Deezer Playlists]],STREAMS_STATS[[#This Row],[In YouTube Playlists]])</f>
        <v>68695</v>
      </c>
      <c r="Q107" s="1">
        <v>130</v>
      </c>
      <c r="R107" s="1">
        <v>-6</v>
      </c>
      <c r="S107" s="1" t="s">
        <v>75</v>
      </c>
      <c r="T107" s="1">
        <v>75</v>
      </c>
      <c r="U107" s="1">
        <v>59</v>
      </c>
      <c r="V107" s="1">
        <v>9</v>
      </c>
      <c r="W107" s="1">
        <v>34</v>
      </c>
      <c r="X107" s="1">
        <v>206</v>
      </c>
      <c r="Y107" s="5">
        <f>STREAMS_STATS[[#This Row],[Duration]]/60</f>
        <v>3.4333333333333331</v>
      </c>
      <c r="Z107" s="1">
        <v>0</v>
      </c>
      <c r="AA107" s="1">
        <v>7</v>
      </c>
      <c r="AB107" s="1">
        <v>75</v>
      </c>
    </row>
    <row r="108" spans="1:28">
      <c r="A108" t="s">
        <v>255</v>
      </c>
      <c r="B108" s="1" t="s">
        <v>256</v>
      </c>
      <c r="C108" s="1" t="s">
        <v>67</v>
      </c>
      <c r="D108" s="1">
        <v>2016</v>
      </c>
      <c r="E108" s="3">
        <v>497225336</v>
      </c>
      <c r="F108" s="3" t="str" cm="1">
        <f t="array" ref="F10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08" s="1">
        <v>4004</v>
      </c>
      <c r="H108" s="1">
        <v>136</v>
      </c>
      <c r="I108" s="1">
        <v>6</v>
      </c>
      <c r="J108" s="1">
        <v>19927</v>
      </c>
      <c r="K108" s="1">
        <v>6</v>
      </c>
      <c r="L108" s="1">
        <v>25</v>
      </c>
      <c r="M108" s="1">
        <v>22</v>
      </c>
      <c r="N108" s="1">
        <v>32466</v>
      </c>
      <c r="O108" s="1">
        <v>398</v>
      </c>
      <c r="P108" s="2">
        <f>SUM(STREAMS_STATS[[#This Row],[In Spotify Playlists]],STREAMS_STATS[[#This Row],[In Apple Playlists]],STREAMS_STATS[[#This Row],[In Deezer Playlists]],STREAMS_STATS[[#This Row],[In YouTube Playlists]])</f>
        <v>56422</v>
      </c>
      <c r="Q108" s="1">
        <v>102</v>
      </c>
      <c r="R108" s="1">
        <v>-7</v>
      </c>
      <c r="S108" s="1" t="s">
        <v>75</v>
      </c>
      <c r="T108" s="1">
        <v>69</v>
      </c>
      <c r="U108" s="1">
        <v>67</v>
      </c>
      <c r="V108" s="1">
        <v>8</v>
      </c>
      <c r="W108" s="1">
        <v>20</v>
      </c>
      <c r="X108" s="1">
        <v>199</v>
      </c>
      <c r="Y108" s="5">
        <f>STREAMS_STATS[[#This Row],[Duration]]/60</f>
        <v>3.3166666666666669</v>
      </c>
      <c r="Z108" s="1">
        <v>31</v>
      </c>
      <c r="AA108" s="1">
        <v>11</v>
      </c>
      <c r="AB108" s="1">
        <v>69</v>
      </c>
    </row>
    <row r="109" spans="1:28">
      <c r="A109" t="s">
        <v>257</v>
      </c>
      <c r="B109" s="1" t="s">
        <v>258</v>
      </c>
      <c r="C109" s="1" t="s">
        <v>67</v>
      </c>
      <c r="D109" s="1">
        <v>2010</v>
      </c>
      <c r="E109" s="3">
        <v>775542072</v>
      </c>
      <c r="F109" s="3" t="str" cm="1">
        <f t="array" ref="F10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09" s="1">
        <v>6672</v>
      </c>
      <c r="H109" s="1">
        <v>331</v>
      </c>
      <c r="I109" s="1">
        <v>205</v>
      </c>
      <c r="J109" s="1">
        <v>10791</v>
      </c>
      <c r="K109" s="1">
        <v>65</v>
      </c>
      <c r="L109" s="1">
        <v>282</v>
      </c>
      <c r="M109" s="1">
        <v>101</v>
      </c>
      <c r="N109" s="1">
        <v>34800</v>
      </c>
      <c r="O109" s="1">
        <v>25</v>
      </c>
      <c r="P109" s="2">
        <f>SUM(STREAMS_STATS[[#This Row],[In Spotify Playlists]],STREAMS_STATS[[#This Row],[In Apple Playlists]],STREAMS_STATS[[#This Row],[In Deezer Playlists]],STREAMS_STATS[[#This Row],[In YouTube Playlists]])</f>
        <v>52545</v>
      </c>
      <c r="Q109" s="1">
        <v>130</v>
      </c>
      <c r="R109" s="1">
        <v>-5</v>
      </c>
      <c r="S109" s="1" t="s">
        <v>68</v>
      </c>
      <c r="T109" s="1">
        <v>82</v>
      </c>
      <c r="U109" s="1">
        <v>77</v>
      </c>
      <c r="V109" s="1">
        <v>70</v>
      </c>
      <c r="W109" s="1">
        <v>63</v>
      </c>
      <c r="X109" s="1">
        <v>213</v>
      </c>
      <c r="Y109" s="5">
        <f>STREAMS_STATS[[#This Row],[Duration]]/60</f>
        <v>3.55</v>
      </c>
      <c r="Z109" s="1">
        <v>18</v>
      </c>
      <c r="AA109" s="1">
        <v>5</v>
      </c>
      <c r="AB109" s="1">
        <v>73</v>
      </c>
    </row>
    <row r="110" spans="1:28">
      <c r="A110" t="s">
        <v>259</v>
      </c>
      <c r="B110" s="1" t="s">
        <v>164</v>
      </c>
      <c r="C110" s="1" t="s">
        <v>67</v>
      </c>
      <c r="D110" s="1">
        <v>2013</v>
      </c>
      <c r="E110" s="3">
        <v>235549288</v>
      </c>
      <c r="F110" s="3" t="str" cm="1">
        <f t="array" ref="F11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10" s="1">
        <v>1639</v>
      </c>
      <c r="H110" s="1">
        <v>300</v>
      </c>
      <c r="I110" s="1">
        <v>21</v>
      </c>
      <c r="J110" s="1">
        <v>25212</v>
      </c>
      <c r="K110" s="1">
        <v>21</v>
      </c>
      <c r="L110" s="1">
        <v>24</v>
      </c>
      <c r="M110" s="1">
        <v>41</v>
      </c>
      <c r="N110" s="1">
        <v>17329</v>
      </c>
      <c r="O110" s="1">
        <v>181</v>
      </c>
      <c r="P110" s="2">
        <f>SUM(STREAMS_STATS[[#This Row],[In Spotify Playlists]],STREAMS_STATS[[#This Row],[In Apple Playlists]],STREAMS_STATS[[#This Row],[In Deezer Playlists]],STREAMS_STATS[[#This Row],[In YouTube Playlists]])</f>
        <v>44204</v>
      </c>
      <c r="Q110" s="1">
        <v>128</v>
      </c>
      <c r="R110" s="1">
        <v>-4</v>
      </c>
      <c r="S110" s="1" t="s">
        <v>68</v>
      </c>
      <c r="T110" s="1">
        <v>75</v>
      </c>
      <c r="U110" s="1">
        <v>72</v>
      </c>
      <c r="V110" s="1">
        <v>13</v>
      </c>
      <c r="W110" s="1">
        <v>50</v>
      </c>
      <c r="X110" s="1">
        <v>229</v>
      </c>
      <c r="Y110" s="5">
        <f>STREAMS_STATS[[#This Row],[Duration]]/60</f>
        <v>3.8166666666666669</v>
      </c>
      <c r="Z110" s="1">
        <v>4</v>
      </c>
      <c r="AA110" s="1">
        <v>4</v>
      </c>
      <c r="AB110" s="1">
        <v>46</v>
      </c>
    </row>
    <row r="111" spans="1:28">
      <c r="A111" t="s">
        <v>260</v>
      </c>
      <c r="B111" s="1" t="s">
        <v>31</v>
      </c>
      <c r="C111" s="1" t="s">
        <v>25</v>
      </c>
      <c r="D111" s="1">
        <v>2019</v>
      </c>
      <c r="E111" s="3">
        <v>822633917</v>
      </c>
      <c r="F111" s="3" t="str" cm="1">
        <f t="array" ref="F11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11" s="1">
        <v>7370</v>
      </c>
      <c r="H111" s="1">
        <v>241</v>
      </c>
      <c r="I111" s="1">
        <v>70</v>
      </c>
      <c r="J111" s="1">
        <v>18403</v>
      </c>
      <c r="K111" s="1">
        <v>70</v>
      </c>
      <c r="L111" s="1">
        <v>384</v>
      </c>
      <c r="M111" s="1">
        <v>12</v>
      </c>
      <c r="N111" s="1">
        <v>6541</v>
      </c>
      <c r="O111" s="1">
        <v>22</v>
      </c>
      <c r="P111" s="2">
        <f>SUM(STREAMS_STATS[[#This Row],[In Spotify Playlists]],STREAMS_STATS[[#This Row],[In Apple Playlists]],STREAMS_STATS[[#This Row],[In Deezer Playlists]],STREAMS_STATS[[#This Row],[In YouTube Playlists]])</f>
        <v>32698</v>
      </c>
      <c r="Q111" s="1">
        <v>95</v>
      </c>
      <c r="R111" s="1">
        <v>-6</v>
      </c>
      <c r="S111" s="1" t="s">
        <v>68</v>
      </c>
      <c r="T111" s="1">
        <v>79</v>
      </c>
      <c r="U111" s="1">
        <v>75</v>
      </c>
      <c r="V111" s="1">
        <v>7</v>
      </c>
      <c r="W111" s="1">
        <v>61</v>
      </c>
      <c r="X111" s="1">
        <v>206</v>
      </c>
      <c r="Y111" s="5">
        <f>STREAMS_STATS[[#This Row],[Duration]]/60</f>
        <v>3.4333333333333331</v>
      </c>
      <c r="Z111" s="1">
        <v>21</v>
      </c>
      <c r="AA111" s="1">
        <v>12</v>
      </c>
      <c r="AB111" s="1">
        <v>75</v>
      </c>
    </row>
    <row r="112" spans="1:28">
      <c r="A112" t="s">
        <v>261</v>
      </c>
      <c r="B112" s="1" t="s">
        <v>262</v>
      </c>
      <c r="C112" s="1" t="s">
        <v>67</v>
      </c>
      <c r="D112" s="1">
        <v>2016</v>
      </c>
      <c r="E112" s="3">
        <v>342779426</v>
      </c>
      <c r="F112" s="3" t="str" cm="1">
        <f t="array" ref="F11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12" s="1">
        <v>2619</v>
      </c>
      <c r="H112" s="1">
        <v>126</v>
      </c>
      <c r="I112" s="1">
        <v>3</v>
      </c>
      <c r="J112" s="1">
        <v>2089</v>
      </c>
      <c r="K112" s="1">
        <v>3</v>
      </c>
      <c r="L112" s="1">
        <v>39</v>
      </c>
      <c r="M112" s="1">
        <v>11</v>
      </c>
      <c r="N112" s="1">
        <v>35572</v>
      </c>
      <c r="O112" s="1">
        <v>337</v>
      </c>
      <c r="P112" s="2">
        <f>SUM(STREAMS_STATS[[#This Row],[In Spotify Playlists]],STREAMS_STATS[[#This Row],[In Apple Playlists]],STREAMS_STATS[[#This Row],[In Deezer Playlists]],STREAMS_STATS[[#This Row],[In YouTube Playlists]])</f>
        <v>40319</v>
      </c>
      <c r="Q112" s="1">
        <v>110</v>
      </c>
      <c r="R112" s="1">
        <v>-4</v>
      </c>
      <c r="S112" s="1" t="s">
        <v>68</v>
      </c>
      <c r="T112" s="1">
        <v>88</v>
      </c>
      <c r="U112" s="1">
        <v>60</v>
      </c>
      <c r="V112" s="1">
        <v>16</v>
      </c>
      <c r="W112" s="1">
        <v>32</v>
      </c>
      <c r="X112" s="1">
        <v>228</v>
      </c>
      <c r="Y112" s="5">
        <f>STREAMS_STATS[[#This Row],[Duration]]/60</f>
        <v>3.8</v>
      </c>
      <c r="Z112" s="1">
        <v>2</v>
      </c>
      <c r="AA112" s="1">
        <v>12</v>
      </c>
      <c r="AB112" s="1">
        <v>63</v>
      </c>
    </row>
    <row r="113" spans="1:28">
      <c r="A113" t="s">
        <v>263</v>
      </c>
      <c r="B113" s="1" t="s">
        <v>264</v>
      </c>
      <c r="C113" s="1" t="s">
        <v>67</v>
      </c>
      <c r="D113" s="1">
        <v>2017</v>
      </c>
      <c r="E113" s="3">
        <v>843309044</v>
      </c>
      <c r="F113" s="3" t="str" cm="1">
        <f t="array" ref="F11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13" s="1">
        <v>7615</v>
      </c>
      <c r="H113" s="1">
        <v>129</v>
      </c>
      <c r="I113" s="1">
        <v>2</v>
      </c>
      <c r="J113" s="1">
        <v>14191</v>
      </c>
      <c r="K113" s="1">
        <v>2</v>
      </c>
      <c r="L113" s="1">
        <v>51</v>
      </c>
      <c r="M113" s="1">
        <v>11</v>
      </c>
      <c r="N113" s="1">
        <v>10931</v>
      </c>
      <c r="O113" s="1">
        <v>328</v>
      </c>
      <c r="P113" s="2">
        <f>SUM(STREAMS_STATS[[#This Row],[In Spotify Playlists]],STREAMS_STATS[[#This Row],[In Apple Playlists]],STREAMS_STATS[[#This Row],[In Deezer Playlists]],STREAMS_STATS[[#This Row],[In YouTube Playlists]])</f>
        <v>32788</v>
      </c>
      <c r="Q113" s="1">
        <v>85</v>
      </c>
      <c r="R113" s="1">
        <v>-6</v>
      </c>
      <c r="S113" s="1" t="s">
        <v>75</v>
      </c>
      <c r="T113" s="1">
        <v>62</v>
      </c>
      <c r="U113" s="1">
        <v>33</v>
      </c>
      <c r="V113" s="1">
        <v>16</v>
      </c>
      <c r="W113" s="1">
        <v>60</v>
      </c>
      <c r="X113" s="1">
        <v>216</v>
      </c>
      <c r="Y113" s="5">
        <f>STREAMS_STATS[[#This Row],[Duration]]/60</f>
        <v>3.6</v>
      </c>
      <c r="Z113" s="1">
        <v>33</v>
      </c>
      <c r="AA113" s="1">
        <v>38</v>
      </c>
      <c r="AB113" s="1">
        <v>75</v>
      </c>
    </row>
    <row r="114" spans="1:28">
      <c r="A114" t="s">
        <v>265</v>
      </c>
      <c r="B114" s="1" t="s">
        <v>206</v>
      </c>
      <c r="C114" s="1" t="s">
        <v>134</v>
      </c>
      <c r="D114" s="1">
        <v>2017</v>
      </c>
      <c r="E114" s="3">
        <v>488386797</v>
      </c>
      <c r="F114" s="3" t="str" cm="1">
        <f t="array" ref="F11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14" s="1">
        <v>3947</v>
      </c>
      <c r="H114" s="1">
        <v>288</v>
      </c>
      <c r="I114" s="1">
        <v>59</v>
      </c>
      <c r="J114" s="1">
        <v>28898</v>
      </c>
      <c r="K114" s="1">
        <v>61</v>
      </c>
      <c r="L114" s="1">
        <v>23</v>
      </c>
      <c r="M114" s="1">
        <v>10</v>
      </c>
      <c r="N114" s="1">
        <v>11163</v>
      </c>
      <c r="O114" s="1">
        <v>311</v>
      </c>
      <c r="P114" s="2">
        <f>SUM(STREAMS_STATS[[#This Row],[In Spotify Playlists]],STREAMS_STATS[[#This Row],[In Apple Playlists]],STREAMS_STATS[[#This Row],[In Deezer Playlists]],STREAMS_STATS[[#This Row],[In YouTube Playlists]])</f>
        <v>44031</v>
      </c>
      <c r="Q114" s="1">
        <v>115</v>
      </c>
      <c r="R114" s="1">
        <v>-3</v>
      </c>
      <c r="S114" s="1" t="s">
        <v>75</v>
      </c>
      <c r="T114" s="1">
        <v>91</v>
      </c>
      <c r="U114" s="1">
        <v>71</v>
      </c>
      <c r="V114" s="1">
        <v>30</v>
      </c>
      <c r="W114" s="1">
        <v>65</v>
      </c>
      <c r="X114" s="1">
        <v>208</v>
      </c>
      <c r="Y114" s="5">
        <f>STREAMS_STATS[[#This Row],[Duration]]/60</f>
        <v>3.4666666666666668</v>
      </c>
      <c r="Z114" s="1">
        <v>1</v>
      </c>
      <c r="AA114" s="1">
        <v>6</v>
      </c>
      <c r="AB114" s="1">
        <v>69</v>
      </c>
    </row>
    <row r="115" spans="1:28">
      <c r="A115" t="s">
        <v>266</v>
      </c>
      <c r="B115" s="1" t="s">
        <v>95</v>
      </c>
      <c r="C115" s="1" t="s">
        <v>67</v>
      </c>
      <c r="D115" s="1">
        <v>2012</v>
      </c>
      <c r="E115" s="3">
        <v>421040617</v>
      </c>
      <c r="F115" s="3" t="str" cm="1">
        <f t="array" ref="F11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15" s="1">
        <v>3282</v>
      </c>
      <c r="H115" s="1">
        <v>230</v>
      </c>
      <c r="I115" s="1">
        <v>353</v>
      </c>
      <c r="J115" s="1">
        <v>15752</v>
      </c>
      <c r="K115" s="1">
        <v>54</v>
      </c>
      <c r="L115" s="1">
        <v>2938</v>
      </c>
      <c r="M115" s="1">
        <v>139</v>
      </c>
      <c r="N115" s="1">
        <v>27346</v>
      </c>
      <c r="O115" s="1">
        <v>142</v>
      </c>
      <c r="P115" s="2">
        <f>SUM(STREAMS_STATS[[#This Row],[In Spotify Playlists]],STREAMS_STATS[[#This Row],[In Apple Playlists]],STREAMS_STATS[[#This Row],[In Deezer Playlists]],STREAMS_STATS[[#This Row],[In YouTube Playlists]])</f>
        <v>49318</v>
      </c>
      <c r="Q115" s="1">
        <v>128</v>
      </c>
      <c r="R115" s="1">
        <v>-5</v>
      </c>
      <c r="S115" s="1" t="s">
        <v>75</v>
      </c>
      <c r="T115" s="1">
        <v>86</v>
      </c>
      <c r="U115" s="1">
        <v>79</v>
      </c>
      <c r="V115" s="1">
        <v>10</v>
      </c>
      <c r="W115" s="1">
        <v>71</v>
      </c>
      <c r="X115" s="1">
        <v>237</v>
      </c>
      <c r="Y115" s="5">
        <f>STREAMS_STATS[[#This Row],[Duration]]/60</f>
        <v>3.95</v>
      </c>
      <c r="Z115" s="1">
        <v>2</v>
      </c>
      <c r="AA115" s="1">
        <v>7</v>
      </c>
      <c r="AB115" s="1">
        <v>66</v>
      </c>
    </row>
    <row r="116" spans="1:28">
      <c r="A116" t="s">
        <v>267</v>
      </c>
      <c r="B116" s="1" t="s">
        <v>268</v>
      </c>
      <c r="C116" s="1" t="s">
        <v>67</v>
      </c>
      <c r="D116" s="1">
        <v>2015</v>
      </c>
      <c r="E116" s="3">
        <v>200660871</v>
      </c>
      <c r="F116" s="3" t="str" cm="1">
        <f t="array" ref="F11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16" s="1">
        <v>1397</v>
      </c>
      <c r="H116" s="1">
        <v>180</v>
      </c>
      <c r="I116" s="1">
        <v>4</v>
      </c>
      <c r="J116" s="1">
        <v>24057</v>
      </c>
      <c r="K116" s="1">
        <v>4</v>
      </c>
      <c r="L116" s="1">
        <v>34</v>
      </c>
      <c r="M116" s="1">
        <v>1</v>
      </c>
      <c r="N116" s="1">
        <v>38993</v>
      </c>
      <c r="O116" s="1">
        <v>25</v>
      </c>
      <c r="P116" s="2">
        <f>SUM(STREAMS_STATS[[#This Row],[In Spotify Playlists]],STREAMS_STATS[[#This Row],[In Apple Playlists]],STREAMS_STATS[[#This Row],[In Deezer Playlists]],STREAMS_STATS[[#This Row],[In YouTube Playlists]])</f>
        <v>64481</v>
      </c>
      <c r="Q116" s="1">
        <v>109</v>
      </c>
      <c r="R116" s="1">
        <v>-5</v>
      </c>
      <c r="S116" s="1" t="s">
        <v>75</v>
      </c>
      <c r="T116" s="1">
        <v>53</v>
      </c>
      <c r="U116" s="1">
        <v>90</v>
      </c>
      <c r="V116" s="1">
        <v>8</v>
      </c>
      <c r="W116" s="1">
        <v>65</v>
      </c>
      <c r="X116" s="1">
        <v>255</v>
      </c>
      <c r="Y116" s="5">
        <f>STREAMS_STATS[[#This Row],[Duration]]/60</f>
        <v>4.25</v>
      </c>
      <c r="Z116" s="1">
        <v>0</v>
      </c>
      <c r="AA116" s="1">
        <v>5</v>
      </c>
      <c r="AB116" s="1">
        <v>18</v>
      </c>
    </row>
    <row r="117" spans="1:28">
      <c r="A117" t="s">
        <v>269</v>
      </c>
      <c r="B117" s="1" t="s">
        <v>40</v>
      </c>
      <c r="C117" s="1" t="s">
        <v>67</v>
      </c>
      <c r="D117" s="1">
        <v>2016</v>
      </c>
      <c r="E117" s="3">
        <v>1210599487</v>
      </c>
      <c r="F117" s="3" t="str" cm="1">
        <f t="array" ref="F117">_xlfn.IFS(STREAMS_STATS[[#This Row],[Streams]] &gt;= 1000000000, "1B+", STREAMS_STATS[[#This Row],[Streams]] &gt;= 500000000, "500M–1B", STREAMS_STATS[[#This Row],[Streams]] &gt;= 250000000, "250M–500M", TRUE, "Under 250M")</f>
        <v>1B+</v>
      </c>
      <c r="G117" s="1">
        <v>11985</v>
      </c>
      <c r="H117" s="1">
        <v>70</v>
      </c>
      <c r="I117" s="1">
        <v>37</v>
      </c>
      <c r="J117" s="1">
        <v>9784</v>
      </c>
      <c r="K117" s="1">
        <v>44</v>
      </c>
      <c r="L117" s="1">
        <v>4746</v>
      </c>
      <c r="M117" s="1">
        <v>17</v>
      </c>
      <c r="N117" s="1">
        <v>36777</v>
      </c>
      <c r="O117" s="1">
        <v>354</v>
      </c>
      <c r="P117" s="2">
        <f>SUM(STREAMS_STATS[[#This Row],[In Spotify Playlists]],STREAMS_STATS[[#This Row],[In Apple Playlists]],STREAMS_STATS[[#This Row],[In Deezer Playlists]],STREAMS_STATS[[#This Row],[In YouTube Playlists]])</f>
        <v>63292</v>
      </c>
      <c r="Q117" s="1">
        <v>134</v>
      </c>
      <c r="R117" s="1">
        <v>-5</v>
      </c>
      <c r="S117" s="1" t="s">
        <v>68</v>
      </c>
      <c r="T117" s="1">
        <v>60</v>
      </c>
      <c r="U117" s="1">
        <v>66</v>
      </c>
      <c r="V117" s="1">
        <v>36</v>
      </c>
      <c r="W117" s="1">
        <v>29</v>
      </c>
      <c r="X117" s="1">
        <v>236</v>
      </c>
      <c r="Y117" s="5">
        <f>STREAMS_STATS[[#This Row],[Duration]]/60</f>
        <v>3.9333333333333331</v>
      </c>
      <c r="Z117" s="1">
        <v>5</v>
      </c>
      <c r="AA117" s="1">
        <v>4</v>
      </c>
      <c r="AB117" s="1">
        <v>78</v>
      </c>
    </row>
    <row r="118" spans="1:28">
      <c r="A118" t="s">
        <v>270</v>
      </c>
      <c r="B118" s="1" t="s">
        <v>162</v>
      </c>
      <c r="C118" s="1" t="s">
        <v>67</v>
      </c>
      <c r="D118" s="1">
        <v>2014</v>
      </c>
      <c r="E118" s="3">
        <v>1235005533</v>
      </c>
      <c r="F118" s="3" t="str" cm="1">
        <f t="array" ref="F118">_xlfn.IFS(STREAMS_STATS[[#This Row],[Streams]] &gt;= 1000000000, "1B+", STREAMS_STATS[[#This Row],[Streams]] &gt;= 500000000, "500M–1B", STREAMS_STATS[[#This Row],[Streams]] &gt;= 250000000, "250M–500M", TRUE, "Under 250M")</f>
        <v>1B+</v>
      </c>
      <c r="G118" s="1">
        <v>12685</v>
      </c>
      <c r="H118" s="1">
        <v>52</v>
      </c>
      <c r="I118" s="1">
        <v>3</v>
      </c>
      <c r="J118" s="1">
        <v>18660</v>
      </c>
      <c r="K118" s="1">
        <v>3</v>
      </c>
      <c r="L118" s="1">
        <v>24</v>
      </c>
      <c r="M118" s="1">
        <v>6</v>
      </c>
      <c r="N118" s="1">
        <v>39225</v>
      </c>
      <c r="O118" s="1">
        <v>200</v>
      </c>
      <c r="P118" s="2">
        <f>SUM(STREAMS_STATS[[#This Row],[In Spotify Playlists]],STREAMS_STATS[[#This Row],[In Apple Playlists]],STREAMS_STATS[[#This Row],[In Deezer Playlists]],STREAMS_STATS[[#This Row],[In YouTube Playlists]])</f>
        <v>70594</v>
      </c>
      <c r="Q118" s="1">
        <v>132</v>
      </c>
      <c r="R118" s="1">
        <v>-6</v>
      </c>
      <c r="S118" s="1" t="s">
        <v>75</v>
      </c>
      <c r="T118" s="1">
        <v>59</v>
      </c>
      <c r="U118" s="1">
        <v>65</v>
      </c>
      <c r="V118" s="1">
        <v>17</v>
      </c>
      <c r="W118" s="1">
        <v>35</v>
      </c>
      <c r="X118" s="1">
        <v>216</v>
      </c>
      <c r="Y118" s="5">
        <f>STREAMS_STATS[[#This Row],[Duration]]/60</f>
        <v>3.6</v>
      </c>
      <c r="Z118" s="1">
        <v>0</v>
      </c>
      <c r="AA118" s="1">
        <v>5</v>
      </c>
      <c r="AB118" s="1">
        <v>78</v>
      </c>
    </row>
    <row r="119" spans="1:28">
      <c r="A119" t="s">
        <v>271</v>
      </c>
      <c r="B119" s="1" t="s">
        <v>32</v>
      </c>
      <c r="C119" s="1" t="s">
        <v>25</v>
      </c>
      <c r="D119" s="1">
        <v>2013</v>
      </c>
      <c r="E119" s="3">
        <v>417230415</v>
      </c>
      <c r="F119" s="3" t="str" cm="1">
        <f t="array" ref="F11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19" s="1">
        <v>3272</v>
      </c>
      <c r="H119" s="1">
        <v>219</v>
      </c>
      <c r="I119" s="1">
        <v>35</v>
      </c>
      <c r="J119" s="1">
        <v>36116</v>
      </c>
      <c r="K119" s="1">
        <v>35</v>
      </c>
      <c r="L119" s="1">
        <v>1</v>
      </c>
      <c r="M119" s="1">
        <v>21</v>
      </c>
      <c r="N119" s="1">
        <v>13690</v>
      </c>
      <c r="O119" s="1">
        <v>363</v>
      </c>
      <c r="P119" s="2">
        <f>SUM(STREAMS_STATS[[#This Row],[In Spotify Playlists]],STREAMS_STATS[[#This Row],[In Apple Playlists]],STREAMS_STATS[[#This Row],[In Deezer Playlists]],STREAMS_STATS[[#This Row],[In YouTube Playlists]])</f>
        <v>53079</v>
      </c>
      <c r="Q119" s="1">
        <v>120</v>
      </c>
      <c r="R119" s="1">
        <v>-5</v>
      </c>
      <c r="S119" s="1" t="s">
        <v>68</v>
      </c>
      <c r="T119" s="1">
        <v>67</v>
      </c>
      <c r="U119" s="1">
        <v>66</v>
      </c>
      <c r="V119" s="1">
        <v>26</v>
      </c>
      <c r="W119" s="1">
        <v>37</v>
      </c>
      <c r="X119" s="1">
        <v>225</v>
      </c>
      <c r="Y119" s="5">
        <f>STREAMS_STATS[[#This Row],[Duration]]/60</f>
        <v>3.75</v>
      </c>
      <c r="Z119" s="1">
        <v>0</v>
      </c>
      <c r="AA119" s="1">
        <v>3</v>
      </c>
      <c r="AB119" s="1">
        <v>66</v>
      </c>
    </row>
    <row r="120" spans="1:28">
      <c r="A120" t="s">
        <v>272</v>
      </c>
      <c r="B120" s="1" t="s">
        <v>102</v>
      </c>
      <c r="C120" s="1" t="s">
        <v>67</v>
      </c>
      <c r="D120" s="1">
        <v>2015</v>
      </c>
      <c r="E120" s="3">
        <v>671365962</v>
      </c>
      <c r="F120" s="3" t="str" cm="1">
        <f t="array" ref="F12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20" s="1">
        <v>5443</v>
      </c>
      <c r="H120" s="1">
        <v>334</v>
      </c>
      <c r="I120" s="1">
        <v>65</v>
      </c>
      <c r="J120" s="1">
        <v>845</v>
      </c>
      <c r="K120" s="1">
        <v>56</v>
      </c>
      <c r="L120" s="1">
        <v>1773</v>
      </c>
      <c r="M120" s="1">
        <v>46</v>
      </c>
      <c r="N120" s="1">
        <v>15101</v>
      </c>
      <c r="O120" s="1">
        <v>375</v>
      </c>
      <c r="P120" s="2">
        <f>SUM(STREAMS_STATS[[#This Row],[In Spotify Playlists]],STREAMS_STATS[[#This Row],[In Apple Playlists]],STREAMS_STATS[[#This Row],[In Deezer Playlists]],STREAMS_STATS[[#This Row],[In YouTube Playlists]])</f>
        <v>23162</v>
      </c>
      <c r="Q120" s="1">
        <v>79</v>
      </c>
      <c r="R120" s="1">
        <v>-5</v>
      </c>
      <c r="S120" s="1" t="s">
        <v>68</v>
      </c>
      <c r="T120" s="1">
        <v>78</v>
      </c>
      <c r="U120" s="1">
        <v>66</v>
      </c>
      <c r="V120" s="1">
        <v>32</v>
      </c>
      <c r="W120" s="1">
        <v>83</v>
      </c>
      <c r="X120" s="1">
        <v>184</v>
      </c>
      <c r="Y120" s="5">
        <f>STREAMS_STATS[[#This Row],[Duration]]/60</f>
        <v>3.0666666666666669</v>
      </c>
      <c r="Z120" s="1">
        <v>38</v>
      </c>
      <c r="AA120" s="1">
        <v>19</v>
      </c>
      <c r="AB120" s="1">
        <v>72</v>
      </c>
    </row>
    <row r="121" spans="1:28">
      <c r="A121" t="s">
        <v>273</v>
      </c>
      <c r="B121" s="1" t="s">
        <v>274</v>
      </c>
      <c r="C121" s="1" t="s">
        <v>67</v>
      </c>
      <c r="D121" s="1">
        <v>2016</v>
      </c>
      <c r="E121" s="3">
        <v>291709698</v>
      </c>
      <c r="F121" s="3" t="str" cm="1">
        <f t="array" ref="F12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21" s="1">
        <v>2224</v>
      </c>
      <c r="H121" s="1">
        <v>133</v>
      </c>
      <c r="I121" s="1">
        <v>29</v>
      </c>
      <c r="J121" s="1">
        <v>34743</v>
      </c>
      <c r="K121" s="1">
        <v>29</v>
      </c>
      <c r="L121" s="1">
        <v>14</v>
      </c>
      <c r="M121" s="1">
        <v>35</v>
      </c>
      <c r="N121" s="1">
        <v>22777</v>
      </c>
      <c r="O121" s="1">
        <v>356</v>
      </c>
      <c r="P121" s="2">
        <f>SUM(STREAMS_STATS[[#This Row],[In Spotify Playlists]],STREAMS_STATS[[#This Row],[In Apple Playlists]],STREAMS_STATS[[#This Row],[In Deezer Playlists]],STREAMS_STATS[[#This Row],[In YouTube Playlists]])</f>
        <v>59758</v>
      </c>
      <c r="Q121" s="1">
        <v>126</v>
      </c>
      <c r="R121" s="1">
        <v>-5</v>
      </c>
      <c r="S121" s="1" t="s">
        <v>68</v>
      </c>
      <c r="T121" s="1">
        <v>78</v>
      </c>
      <c r="U121" s="1">
        <v>71</v>
      </c>
      <c r="V121" s="1">
        <v>30</v>
      </c>
      <c r="W121" s="1">
        <v>64</v>
      </c>
      <c r="X121" s="1">
        <v>203</v>
      </c>
      <c r="Y121" s="5">
        <f>STREAMS_STATS[[#This Row],[Duration]]/60</f>
        <v>3.3833333333333333</v>
      </c>
      <c r="Z121" s="1">
        <v>30</v>
      </c>
      <c r="AA121" s="1">
        <v>6</v>
      </c>
      <c r="AB121" s="1">
        <v>58</v>
      </c>
    </row>
    <row r="122" spans="1:28">
      <c r="A122" t="s">
        <v>275</v>
      </c>
      <c r="B122" s="1" t="s">
        <v>276</v>
      </c>
      <c r="C122" s="1" t="s">
        <v>253</v>
      </c>
      <c r="D122" s="1">
        <v>2017</v>
      </c>
      <c r="E122" s="3">
        <v>939844851</v>
      </c>
      <c r="F122" s="3" t="str" cm="1">
        <f t="array" ref="F12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22" s="1">
        <v>8476</v>
      </c>
      <c r="H122" s="1">
        <v>64</v>
      </c>
      <c r="I122" s="1">
        <v>92</v>
      </c>
      <c r="J122" s="1">
        <v>1308</v>
      </c>
      <c r="K122" s="1">
        <v>92</v>
      </c>
      <c r="L122" s="1">
        <v>259</v>
      </c>
      <c r="M122" s="1">
        <v>26</v>
      </c>
      <c r="N122" s="1">
        <v>30033</v>
      </c>
      <c r="O122" s="1">
        <v>226</v>
      </c>
      <c r="P122" s="2">
        <f>SUM(STREAMS_STATS[[#This Row],[In Spotify Playlists]],STREAMS_STATS[[#This Row],[In Apple Playlists]],STREAMS_STATS[[#This Row],[In Deezer Playlists]],STREAMS_STATS[[#This Row],[In YouTube Playlists]])</f>
        <v>40076</v>
      </c>
      <c r="Q122" s="1">
        <v>178</v>
      </c>
      <c r="R122" s="1">
        <v>-4</v>
      </c>
      <c r="S122" s="1" t="s">
        <v>68</v>
      </c>
      <c r="T122" s="1">
        <v>82</v>
      </c>
      <c r="U122" s="1">
        <v>65</v>
      </c>
      <c r="V122" s="1">
        <v>10</v>
      </c>
      <c r="W122" s="1">
        <v>82</v>
      </c>
      <c r="X122" s="1">
        <v>229</v>
      </c>
      <c r="Y122" s="5">
        <f>STREAMS_STATS[[#This Row],[Duration]]/60</f>
        <v>3.8166666666666669</v>
      </c>
      <c r="Z122" s="1">
        <v>23</v>
      </c>
      <c r="AA122" s="1">
        <v>17</v>
      </c>
      <c r="AB122" s="1">
        <v>76</v>
      </c>
    </row>
    <row r="123" spans="1:28">
      <c r="A123" t="s">
        <v>277</v>
      </c>
      <c r="B123" s="1" t="s">
        <v>39</v>
      </c>
      <c r="C123" s="1" t="s">
        <v>115</v>
      </c>
      <c r="D123" s="1">
        <v>2012</v>
      </c>
      <c r="E123" s="3">
        <v>323437194</v>
      </c>
      <c r="F123" s="3" t="str" cm="1">
        <f t="array" ref="F12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23" s="1">
        <v>2528</v>
      </c>
      <c r="H123" s="1">
        <v>265</v>
      </c>
      <c r="I123" s="1">
        <v>19</v>
      </c>
      <c r="J123" s="1">
        <v>7500</v>
      </c>
      <c r="K123" s="1">
        <v>88</v>
      </c>
      <c r="L123" s="1">
        <v>395</v>
      </c>
      <c r="M123" s="1">
        <v>170</v>
      </c>
      <c r="N123" s="1">
        <v>3799</v>
      </c>
      <c r="O123" s="1">
        <v>275</v>
      </c>
      <c r="P123" s="2">
        <f>SUM(STREAMS_STATS[[#This Row],[In Spotify Playlists]],STREAMS_STATS[[#This Row],[In Apple Playlists]],STREAMS_STATS[[#This Row],[In Deezer Playlists]],STREAMS_STATS[[#This Row],[In YouTube Playlists]])</f>
        <v>14222</v>
      </c>
      <c r="Q123" s="1">
        <v>92</v>
      </c>
      <c r="R123" s="1">
        <v>-5</v>
      </c>
      <c r="S123" s="1" t="s">
        <v>68</v>
      </c>
      <c r="T123" s="1">
        <v>71</v>
      </c>
      <c r="U123" s="1">
        <v>56</v>
      </c>
      <c r="V123" s="1">
        <v>11</v>
      </c>
      <c r="W123" s="1">
        <v>39</v>
      </c>
      <c r="X123" s="1">
        <v>225</v>
      </c>
      <c r="Y123" s="5">
        <f>STREAMS_STATS[[#This Row],[Duration]]/60</f>
        <v>3.75</v>
      </c>
      <c r="Z123" s="1">
        <v>0</v>
      </c>
      <c r="AA123" s="1">
        <v>5</v>
      </c>
      <c r="AB123" s="1">
        <v>61</v>
      </c>
    </row>
    <row r="124" spans="1:28">
      <c r="A124" t="s">
        <v>278</v>
      </c>
      <c r="B124" s="1" t="s">
        <v>164</v>
      </c>
      <c r="C124" s="1" t="s">
        <v>67</v>
      </c>
      <c r="D124" s="1">
        <v>2013</v>
      </c>
      <c r="E124" s="3">
        <v>865640097</v>
      </c>
      <c r="F124" s="3" t="str" cm="1">
        <f t="array" ref="F12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24" s="1">
        <v>7842</v>
      </c>
      <c r="H124" s="1">
        <v>82</v>
      </c>
      <c r="I124" s="1">
        <v>3</v>
      </c>
      <c r="J124" s="1">
        <v>11029</v>
      </c>
      <c r="K124" s="1">
        <v>3</v>
      </c>
      <c r="L124" s="1">
        <v>19</v>
      </c>
      <c r="M124" s="1">
        <v>3</v>
      </c>
      <c r="N124" s="1">
        <v>23832</v>
      </c>
      <c r="O124" s="1">
        <v>353</v>
      </c>
      <c r="P124" s="2">
        <f>SUM(STREAMS_STATS[[#This Row],[In Spotify Playlists]],STREAMS_STATS[[#This Row],[In Apple Playlists]],STREAMS_STATS[[#This Row],[In Deezer Playlists]],STREAMS_STATS[[#This Row],[In YouTube Playlists]])</f>
        <v>42722</v>
      </c>
      <c r="Q124" s="1">
        <v>128</v>
      </c>
      <c r="R124" s="1">
        <v>-5</v>
      </c>
      <c r="S124" s="1" t="s">
        <v>68</v>
      </c>
      <c r="T124" s="1">
        <v>70</v>
      </c>
      <c r="U124" s="1">
        <v>71</v>
      </c>
      <c r="V124" s="1">
        <v>22</v>
      </c>
      <c r="W124" s="1">
        <v>80</v>
      </c>
      <c r="X124" s="1">
        <v>212</v>
      </c>
      <c r="Y124" s="5">
        <f>STREAMS_STATS[[#This Row],[Duration]]/60</f>
        <v>3.5333333333333332</v>
      </c>
      <c r="Z124" s="1">
        <v>0</v>
      </c>
      <c r="AA124" s="1">
        <v>5</v>
      </c>
      <c r="AB124" s="1">
        <v>75</v>
      </c>
    </row>
    <row r="125" spans="1:28">
      <c r="A125" t="s">
        <v>279</v>
      </c>
      <c r="B125" s="1" t="s">
        <v>280</v>
      </c>
      <c r="C125" s="1" t="s">
        <v>224</v>
      </c>
      <c r="D125" s="1">
        <v>2010</v>
      </c>
      <c r="E125" s="3">
        <v>255932395</v>
      </c>
      <c r="F125" s="3" t="str" cm="1">
        <f t="array" ref="F12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25" s="1">
        <v>1915</v>
      </c>
      <c r="H125" s="1">
        <v>379</v>
      </c>
      <c r="I125" s="1">
        <v>353</v>
      </c>
      <c r="J125" s="1">
        <v>38741</v>
      </c>
      <c r="K125" s="1">
        <v>83</v>
      </c>
      <c r="L125" s="1">
        <v>7237</v>
      </c>
      <c r="M125" s="1">
        <v>129</v>
      </c>
      <c r="N125" s="1">
        <v>39286</v>
      </c>
      <c r="O125" s="1">
        <v>224</v>
      </c>
      <c r="P125" s="2">
        <f>SUM(STREAMS_STATS[[#This Row],[In Spotify Playlists]],STREAMS_STATS[[#This Row],[In Apple Playlists]],STREAMS_STATS[[#This Row],[In Deezer Playlists]],STREAMS_STATS[[#This Row],[In YouTube Playlists]])</f>
        <v>87179</v>
      </c>
      <c r="Q125" s="1">
        <v>120</v>
      </c>
      <c r="R125" s="1">
        <v>-3</v>
      </c>
      <c r="S125" s="1" t="s">
        <v>68</v>
      </c>
      <c r="T125" s="1">
        <v>86</v>
      </c>
      <c r="U125" s="1">
        <v>66</v>
      </c>
      <c r="V125" s="1">
        <v>8</v>
      </c>
      <c r="W125" s="1">
        <v>65</v>
      </c>
      <c r="X125" s="1">
        <v>221</v>
      </c>
      <c r="Y125" s="5">
        <f>STREAMS_STATS[[#This Row],[Duration]]/60</f>
        <v>3.6833333333333331</v>
      </c>
      <c r="Z125" s="1">
        <v>3</v>
      </c>
      <c r="AA125" s="1">
        <v>11</v>
      </c>
      <c r="AB125" s="1">
        <v>52</v>
      </c>
    </row>
    <row r="126" spans="1:28">
      <c r="A126" t="s">
        <v>281</v>
      </c>
      <c r="B126" s="1" t="s">
        <v>66</v>
      </c>
      <c r="C126" s="1" t="s">
        <v>67</v>
      </c>
      <c r="D126" s="1">
        <v>2016</v>
      </c>
      <c r="E126" s="3">
        <v>209106362</v>
      </c>
      <c r="F126" s="3" t="str" cm="1">
        <f t="array" ref="F12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26" s="1">
        <v>1473</v>
      </c>
      <c r="H126" s="1">
        <v>225</v>
      </c>
      <c r="I126" s="1">
        <v>12</v>
      </c>
      <c r="J126" s="1">
        <v>19646</v>
      </c>
      <c r="K126" s="1">
        <v>12</v>
      </c>
      <c r="L126" s="1">
        <v>38</v>
      </c>
      <c r="M126" s="1">
        <v>7</v>
      </c>
      <c r="N126" s="1">
        <v>10222</v>
      </c>
      <c r="O126" s="1">
        <v>297</v>
      </c>
      <c r="P126" s="2">
        <f>SUM(STREAMS_STATS[[#This Row],[In Spotify Playlists]],STREAMS_STATS[[#This Row],[In Apple Playlists]],STREAMS_STATS[[#This Row],[In Deezer Playlists]],STREAMS_STATS[[#This Row],[In YouTube Playlists]])</f>
        <v>31379</v>
      </c>
      <c r="Q126" s="1">
        <v>121</v>
      </c>
      <c r="R126" s="1">
        <v>-6</v>
      </c>
      <c r="S126" s="1" t="s">
        <v>75</v>
      </c>
      <c r="T126" s="1">
        <v>70</v>
      </c>
      <c r="U126" s="1">
        <v>75</v>
      </c>
      <c r="V126" s="1">
        <v>11</v>
      </c>
      <c r="W126" s="1">
        <v>45</v>
      </c>
      <c r="X126" s="1">
        <v>203</v>
      </c>
      <c r="Y126" s="5">
        <f>STREAMS_STATS[[#This Row],[Duration]]/60</f>
        <v>3.3833333333333333</v>
      </c>
      <c r="Z126" s="1">
        <v>1</v>
      </c>
      <c r="AA126" s="1">
        <v>7</v>
      </c>
      <c r="AB126" s="1">
        <v>34</v>
      </c>
    </row>
    <row r="127" spans="1:28">
      <c r="A127" t="s">
        <v>282</v>
      </c>
      <c r="B127" s="1" t="s">
        <v>283</v>
      </c>
      <c r="C127" s="1" t="s">
        <v>284</v>
      </c>
      <c r="D127" s="1">
        <v>2010</v>
      </c>
      <c r="E127" s="3">
        <v>290228626</v>
      </c>
      <c r="F127" s="3" t="str" cm="1">
        <f t="array" ref="F12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27" s="1">
        <v>2186</v>
      </c>
      <c r="H127" s="1">
        <v>243</v>
      </c>
      <c r="I127" s="1">
        <v>182</v>
      </c>
      <c r="J127" s="1">
        <v>35940</v>
      </c>
      <c r="K127" s="1">
        <v>74</v>
      </c>
      <c r="L127" s="1">
        <v>2427</v>
      </c>
      <c r="M127" s="1">
        <v>95</v>
      </c>
      <c r="N127" s="1">
        <v>12669</v>
      </c>
      <c r="O127" s="1">
        <v>173</v>
      </c>
      <c r="P127" s="2">
        <f>SUM(STREAMS_STATS[[#This Row],[In Spotify Playlists]],STREAMS_STATS[[#This Row],[In Apple Playlists]],STREAMS_STATS[[#This Row],[In Deezer Playlists]],STREAMS_STATS[[#This Row],[In YouTube Playlists]])</f>
        <v>53222</v>
      </c>
      <c r="Q127" s="1">
        <v>104</v>
      </c>
      <c r="R127" s="1">
        <v>-7</v>
      </c>
      <c r="S127" s="1" t="s">
        <v>68</v>
      </c>
      <c r="T127" s="1">
        <v>41</v>
      </c>
      <c r="U127" s="1">
        <v>71</v>
      </c>
      <c r="V127" s="1">
        <v>10</v>
      </c>
      <c r="W127" s="1">
        <v>10</v>
      </c>
      <c r="X127" s="1">
        <v>273</v>
      </c>
      <c r="Y127" s="5">
        <f>STREAMS_STATS[[#This Row],[Duration]]/60</f>
        <v>4.55</v>
      </c>
      <c r="Z127" s="1">
        <v>4</v>
      </c>
      <c r="AA127" s="1">
        <v>3</v>
      </c>
      <c r="AB127" s="1">
        <v>57</v>
      </c>
    </row>
    <row r="128" spans="1:28">
      <c r="A128" t="s">
        <v>285</v>
      </c>
      <c r="B128" s="1" t="s">
        <v>286</v>
      </c>
      <c r="C128" s="1" t="s">
        <v>287</v>
      </c>
      <c r="D128" s="1">
        <v>2010</v>
      </c>
      <c r="E128" s="3">
        <v>297328960</v>
      </c>
      <c r="F128" s="3" t="str" cm="1">
        <f t="array" ref="F12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28" s="1">
        <v>2265</v>
      </c>
      <c r="H128" s="1">
        <v>290</v>
      </c>
      <c r="I128" s="1">
        <v>384</v>
      </c>
      <c r="J128" s="1">
        <v>6686</v>
      </c>
      <c r="K128" s="1">
        <v>67</v>
      </c>
      <c r="L128" s="1">
        <v>4668</v>
      </c>
      <c r="M128" s="1">
        <v>117</v>
      </c>
      <c r="N128" s="1">
        <v>23606</v>
      </c>
      <c r="O128" s="1">
        <v>107</v>
      </c>
      <c r="P128" s="2">
        <f>SUM(STREAMS_STATS[[#This Row],[In Spotify Playlists]],STREAMS_STATS[[#This Row],[In Apple Playlists]],STREAMS_STATS[[#This Row],[In Deezer Playlists]],STREAMS_STATS[[#This Row],[In YouTube Playlists]])</f>
        <v>37225</v>
      </c>
      <c r="Q128" s="1">
        <v>150</v>
      </c>
      <c r="R128" s="1">
        <v>-5</v>
      </c>
      <c r="S128" s="1" t="s">
        <v>75</v>
      </c>
      <c r="T128" s="1">
        <v>81</v>
      </c>
      <c r="U128" s="1">
        <v>50</v>
      </c>
      <c r="V128" s="1">
        <v>12</v>
      </c>
      <c r="W128" s="1">
        <v>26</v>
      </c>
      <c r="X128" s="1">
        <v>253</v>
      </c>
      <c r="Y128" s="5">
        <f>STREAMS_STATS[[#This Row],[Duration]]/60</f>
        <v>4.2166666666666668</v>
      </c>
      <c r="Z128" s="1">
        <v>3</v>
      </c>
      <c r="AA128" s="1">
        <v>9</v>
      </c>
      <c r="AB128" s="1">
        <v>58</v>
      </c>
    </row>
    <row r="129" spans="1:28">
      <c r="A129" t="s">
        <v>288</v>
      </c>
      <c r="B129" s="1" t="s">
        <v>143</v>
      </c>
      <c r="C129" s="1" t="s">
        <v>144</v>
      </c>
      <c r="D129" s="1">
        <v>2012</v>
      </c>
      <c r="E129" s="3">
        <v>513643924</v>
      </c>
      <c r="F129" s="3" t="str" cm="1">
        <f t="array" ref="F12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29" s="1">
        <v>4188</v>
      </c>
      <c r="H129" s="1">
        <v>155</v>
      </c>
      <c r="I129" s="1">
        <v>76</v>
      </c>
      <c r="J129" s="1">
        <v>32534</v>
      </c>
      <c r="K129" s="1">
        <v>56</v>
      </c>
      <c r="L129" s="1">
        <v>7889</v>
      </c>
      <c r="M129" s="1">
        <v>179</v>
      </c>
      <c r="N129" s="1">
        <v>9911</v>
      </c>
      <c r="O129" s="1">
        <v>203</v>
      </c>
      <c r="P129" s="2">
        <f>SUM(STREAMS_STATS[[#This Row],[In Spotify Playlists]],STREAMS_STATS[[#This Row],[In Apple Playlists]],STREAMS_STATS[[#This Row],[In Deezer Playlists]],STREAMS_STATS[[#This Row],[In YouTube Playlists]])</f>
        <v>54522</v>
      </c>
      <c r="Q129" s="1">
        <v>127</v>
      </c>
      <c r="R129" s="1">
        <v>-5</v>
      </c>
      <c r="S129" s="1" t="s">
        <v>75</v>
      </c>
      <c r="T129" s="1">
        <v>55</v>
      </c>
      <c r="U129" s="1">
        <v>76</v>
      </c>
      <c r="V129" s="1">
        <v>4</v>
      </c>
      <c r="W129" s="1">
        <v>78</v>
      </c>
      <c r="X129" s="1">
        <v>232</v>
      </c>
      <c r="Y129" s="5">
        <f>STREAMS_STATS[[#This Row],[Duration]]/60</f>
        <v>3.8666666666666667</v>
      </c>
      <c r="Z129" s="1">
        <v>1</v>
      </c>
      <c r="AA129" s="1">
        <v>3</v>
      </c>
      <c r="AB129" s="1">
        <v>69</v>
      </c>
    </row>
    <row r="130" spans="1:28">
      <c r="A130" t="s">
        <v>289</v>
      </c>
      <c r="B130" s="1" t="s">
        <v>31</v>
      </c>
      <c r="C130" s="1" t="s">
        <v>25</v>
      </c>
      <c r="D130" s="1">
        <v>2015</v>
      </c>
      <c r="E130" s="3">
        <v>800840817</v>
      </c>
      <c r="F130" s="3" t="str" cm="1">
        <f t="array" ref="F13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30" s="1">
        <v>6955</v>
      </c>
      <c r="H130" s="1">
        <v>137</v>
      </c>
      <c r="I130" s="1">
        <v>2</v>
      </c>
      <c r="J130" s="1">
        <v>28780</v>
      </c>
      <c r="K130" s="1">
        <v>2</v>
      </c>
      <c r="L130" s="1">
        <v>33</v>
      </c>
      <c r="M130" s="1">
        <v>14</v>
      </c>
      <c r="N130" s="1">
        <v>12052</v>
      </c>
      <c r="O130" s="1">
        <v>90</v>
      </c>
      <c r="P130" s="2">
        <f>SUM(STREAMS_STATS[[#This Row],[In Spotify Playlists]],STREAMS_STATS[[#This Row],[In Apple Playlists]],STREAMS_STATS[[#This Row],[In Deezer Playlists]],STREAMS_STATS[[#This Row],[In YouTube Playlists]])</f>
        <v>47820</v>
      </c>
      <c r="Q130" s="1">
        <v>95</v>
      </c>
      <c r="R130" s="1">
        <v>-7</v>
      </c>
      <c r="S130" s="1" t="s">
        <v>68</v>
      </c>
      <c r="T130" s="1">
        <v>61</v>
      </c>
      <c r="U130" s="1">
        <v>81</v>
      </c>
      <c r="V130" s="1">
        <v>64</v>
      </c>
      <c r="W130" s="1">
        <v>85</v>
      </c>
      <c r="X130" s="1">
        <v>220</v>
      </c>
      <c r="Y130" s="5">
        <f>STREAMS_STATS[[#This Row],[Duration]]/60</f>
        <v>3.6666666666666665</v>
      </c>
      <c r="Z130" s="1">
        <v>1</v>
      </c>
      <c r="AA130" s="1">
        <v>7</v>
      </c>
      <c r="AB130" s="1">
        <v>74</v>
      </c>
    </row>
    <row r="131" spans="1:28">
      <c r="A131" t="s">
        <v>290</v>
      </c>
      <c r="B131" s="1" t="s">
        <v>33</v>
      </c>
      <c r="C131" s="1" t="s">
        <v>134</v>
      </c>
      <c r="D131" s="1">
        <v>2016</v>
      </c>
      <c r="E131" s="3">
        <v>370068639</v>
      </c>
      <c r="F131" s="3" t="str" cm="1">
        <f t="array" ref="F13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31" s="1">
        <v>2939</v>
      </c>
      <c r="H131" s="1">
        <v>122</v>
      </c>
      <c r="I131" s="1">
        <v>16</v>
      </c>
      <c r="J131" s="1">
        <v>12756</v>
      </c>
      <c r="K131" s="1">
        <v>16</v>
      </c>
      <c r="L131" s="1">
        <v>14</v>
      </c>
      <c r="M131" s="1">
        <v>36</v>
      </c>
      <c r="N131" s="1">
        <v>24695</v>
      </c>
      <c r="O131" s="1">
        <v>265</v>
      </c>
      <c r="P131" s="2">
        <f>SUM(STREAMS_STATS[[#This Row],[In Spotify Playlists]],STREAMS_STATS[[#This Row],[In Apple Playlists]],STREAMS_STATS[[#This Row],[In Deezer Playlists]],STREAMS_STATS[[#This Row],[In YouTube Playlists]])</f>
        <v>40404</v>
      </c>
      <c r="Q131" s="1">
        <v>175</v>
      </c>
      <c r="R131" s="1">
        <v>-6</v>
      </c>
      <c r="S131" s="1" t="s">
        <v>75</v>
      </c>
      <c r="T131" s="1">
        <v>34</v>
      </c>
      <c r="U131" s="1">
        <v>47</v>
      </c>
      <c r="V131" s="1">
        <v>10</v>
      </c>
      <c r="W131" s="1">
        <v>27</v>
      </c>
      <c r="X131" s="1">
        <v>216</v>
      </c>
      <c r="Y131" s="5">
        <f>STREAMS_STATS[[#This Row],[Duration]]/60</f>
        <v>3.6</v>
      </c>
      <c r="Z131" s="1">
        <v>60</v>
      </c>
      <c r="AA131" s="1">
        <v>4</v>
      </c>
      <c r="AB131" s="1">
        <v>65</v>
      </c>
    </row>
    <row r="132" spans="1:28">
      <c r="A132" t="s">
        <v>291</v>
      </c>
      <c r="B132" s="1" t="s">
        <v>292</v>
      </c>
      <c r="C132" s="1" t="s">
        <v>67</v>
      </c>
      <c r="D132" s="1">
        <v>2015</v>
      </c>
      <c r="E132" s="3">
        <v>246390068</v>
      </c>
      <c r="F132" s="3" t="str" cm="1">
        <f t="array" ref="F13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32" s="1">
        <v>1818</v>
      </c>
      <c r="H132" s="1">
        <v>252</v>
      </c>
      <c r="I132" s="1">
        <v>1</v>
      </c>
      <c r="J132" s="1">
        <v>38773</v>
      </c>
      <c r="K132" s="1">
        <v>1</v>
      </c>
      <c r="L132" s="1">
        <v>15</v>
      </c>
      <c r="M132" s="1">
        <v>29</v>
      </c>
      <c r="N132" s="1">
        <v>22026</v>
      </c>
      <c r="O132" s="1">
        <v>10</v>
      </c>
      <c r="P132" s="2">
        <f>SUM(STREAMS_STATS[[#This Row],[In Spotify Playlists]],STREAMS_STATS[[#This Row],[In Apple Playlists]],STREAMS_STATS[[#This Row],[In Deezer Playlists]],STREAMS_STATS[[#This Row],[In YouTube Playlists]])</f>
        <v>62632</v>
      </c>
      <c r="Q132" s="1">
        <v>120</v>
      </c>
      <c r="R132" s="1">
        <v>-3</v>
      </c>
      <c r="S132" s="1" t="s">
        <v>68</v>
      </c>
      <c r="T132" s="1">
        <v>82</v>
      </c>
      <c r="U132" s="1">
        <v>57</v>
      </c>
      <c r="V132" s="1">
        <v>16</v>
      </c>
      <c r="W132" s="1">
        <v>66</v>
      </c>
      <c r="X132" s="1">
        <v>211</v>
      </c>
      <c r="Y132" s="5">
        <f>STREAMS_STATS[[#This Row],[Duration]]/60</f>
        <v>3.5166666666666666</v>
      </c>
      <c r="Z132" s="1">
        <v>6</v>
      </c>
      <c r="AA132" s="1">
        <v>3</v>
      </c>
      <c r="AB132" s="1">
        <v>52</v>
      </c>
    </row>
    <row r="133" spans="1:28">
      <c r="A133" t="s">
        <v>293</v>
      </c>
      <c r="B133" s="1" t="s">
        <v>294</v>
      </c>
      <c r="C133" s="1" t="s">
        <v>67</v>
      </c>
      <c r="D133" s="1">
        <v>2019</v>
      </c>
      <c r="E133" s="3">
        <v>2282771485</v>
      </c>
      <c r="F133" s="3" t="str" cm="1">
        <f t="array" ref="F133">_xlfn.IFS(STREAMS_STATS[[#This Row],[Streams]] &gt;= 1000000000, "1B+", STREAMS_STATS[[#This Row],[Streams]] &gt;= 500000000, "500M–1B", STREAMS_STATS[[#This Row],[Streams]] &gt;= 250000000, "250M–500M", TRUE, "Under 250M")</f>
        <v>1B+</v>
      </c>
      <c r="G133" s="1">
        <v>32502</v>
      </c>
      <c r="H133" s="1">
        <v>3</v>
      </c>
      <c r="I133" s="1">
        <v>77</v>
      </c>
      <c r="J133" s="1">
        <v>21005</v>
      </c>
      <c r="K133" s="1">
        <v>77</v>
      </c>
      <c r="L133" s="2">
        <v>1535</v>
      </c>
      <c r="M133" s="1">
        <v>3</v>
      </c>
      <c r="N133" s="1">
        <v>38258</v>
      </c>
      <c r="O133" s="1">
        <v>200</v>
      </c>
      <c r="P133" s="2">
        <f>SUM(STREAMS_STATS[[#This Row],[In Spotify Playlists]],STREAMS_STATS[[#This Row],[In Apple Playlists]],STREAMS_STATS[[#This Row],[In Deezer Playlists]],STREAMS_STATS[[#This Row],[In YouTube Playlists]])</f>
        <v>93300</v>
      </c>
      <c r="Q133" s="1">
        <v>99</v>
      </c>
      <c r="R133" s="1">
        <v>-3</v>
      </c>
      <c r="S133" s="1" t="s">
        <v>68</v>
      </c>
      <c r="T133" s="1">
        <v>88</v>
      </c>
      <c r="U133" s="1">
        <v>67</v>
      </c>
      <c r="V133" s="1">
        <v>8</v>
      </c>
      <c r="W133" s="1">
        <v>23</v>
      </c>
      <c r="X133" s="1">
        <v>178</v>
      </c>
      <c r="Y133" s="5">
        <f>STREAMS_STATS[[#This Row],[Duration]]/60</f>
        <v>2.9666666666666668</v>
      </c>
      <c r="Z133" s="1">
        <v>30</v>
      </c>
      <c r="AA133" s="1">
        <v>15</v>
      </c>
      <c r="AB133" s="1">
        <v>86</v>
      </c>
    </row>
    <row r="134" spans="1:28">
      <c r="A134" t="s">
        <v>295</v>
      </c>
      <c r="B134" s="1" t="s">
        <v>35</v>
      </c>
      <c r="C134" s="1" t="s">
        <v>24</v>
      </c>
      <c r="D134" s="1">
        <v>2016</v>
      </c>
      <c r="E134" s="3">
        <v>1608045237</v>
      </c>
      <c r="F134" s="3" t="str" cm="1">
        <f t="array" ref="F134">_xlfn.IFS(STREAMS_STATS[[#This Row],[Streams]] &gt;= 1000000000, "1B+", STREAMS_STATS[[#This Row],[Streams]] &gt;= 500000000, "500M–1B", STREAMS_STATS[[#This Row],[Streams]] &gt;= 250000000, "250M–500M", TRUE, "Under 250M")</f>
        <v>1B+</v>
      </c>
      <c r="G134" s="1">
        <v>19664</v>
      </c>
      <c r="H134" s="1">
        <v>42</v>
      </c>
      <c r="I134" s="1">
        <v>48</v>
      </c>
      <c r="J134" s="1">
        <v>21020</v>
      </c>
      <c r="K134" s="1">
        <v>48</v>
      </c>
      <c r="L134" s="1">
        <v>50</v>
      </c>
      <c r="M134" s="1">
        <v>20</v>
      </c>
      <c r="N134" s="1">
        <v>33013</v>
      </c>
      <c r="O134" s="1">
        <v>69</v>
      </c>
      <c r="P134" s="2">
        <f>SUM(STREAMS_STATS[[#This Row],[In Spotify Playlists]],STREAMS_STATS[[#This Row],[In Apple Playlists]],STREAMS_STATS[[#This Row],[In Deezer Playlists]],STREAMS_STATS[[#This Row],[In YouTube Playlists]])</f>
        <v>73747</v>
      </c>
      <c r="Q134" s="1">
        <v>160</v>
      </c>
      <c r="R134" s="1">
        <v>-5</v>
      </c>
      <c r="S134" s="1" t="s">
        <v>75</v>
      </c>
      <c r="T134" s="1">
        <v>87</v>
      </c>
      <c r="U134" s="1">
        <v>53</v>
      </c>
      <c r="V134" s="1">
        <v>14</v>
      </c>
      <c r="W134" s="1">
        <v>42</v>
      </c>
      <c r="X134" s="1">
        <v>208</v>
      </c>
      <c r="Y134" s="5">
        <f>STREAMS_STATS[[#This Row],[Duration]]/60</f>
        <v>3.4666666666666668</v>
      </c>
      <c r="Z134" s="1">
        <v>16</v>
      </c>
      <c r="AA134" s="1">
        <v>17</v>
      </c>
      <c r="AB134" s="1">
        <v>81</v>
      </c>
    </row>
    <row r="135" spans="1:28">
      <c r="A135" t="s">
        <v>296</v>
      </c>
      <c r="B135" s="1" t="s">
        <v>226</v>
      </c>
      <c r="C135" s="1" t="s">
        <v>67</v>
      </c>
      <c r="D135" s="1">
        <v>2012</v>
      </c>
      <c r="E135" s="3">
        <v>302006641</v>
      </c>
      <c r="F135" s="3" t="str" cm="1">
        <f t="array" ref="F13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35" s="1">
        <v>2321</v>
      </c>
      <c r="H135" s="1">
        <v>100</v>
      </c>
      <c r="I135" s="1">
        <v>49</v>
      </c>
      <c r="J135" s="1">
        <v>37647</v>
      </c>
      <c r="K135" s="1">
        <v>91</v>
      </c>
      <c r="L135" s="1">
        <v>4044</v>
      </c>
      <c r="M135" s="1">
        <v>166</v>
      </c>
      <c r="N135" s="1">
        <v>12504</v>
      </c>
      <c r="O135" s="1">
        <v>386</v>
      </c>
      <c r="P135" s="2">
        <f>SUM(STREAMS_STATS[[#This Row],[In Spotify Playlists]],STREAMS_STATS[[#This Row],[In Apple Playlists]],STREAMS_STATS[[#This Row],[In Deezer Playlists]],STREAMS_STATS[[#This Row],[In YouTube Playlists]])</f>
        <v>56516</v>
      </c>
      <c r="Q135" s="1">
        <v>127</v>
      </c>
      <c r="R135" s="1">
        <v>-4</v>
      </c>
      <c r="S135" s="1" t="s">
        <v>75</v>
      </c>
      <c r="T135" s="1">
        <v>96</v>
      </c>
      <c r="U135" s="1">
        <v>72</v>
      </c>
      <c r="V135" s="1">
        <v>38</v>
      </c>
      <c r="W135" s="1">
        <v>95</v>
      </c>
      <c r="X135" s="1">
        <v>206</v>
      </c>
      <c r="Y135" s="5">
        <f>STREAMS_STATS[[#This Row],[Duration]]/60</f>
        <v>3.4333333333333331</v>
      </c>
      <c r="Z135" s="1">
        <v>1</v>
      </c>
      <c r="AA135" s="1">
        <v>9</v>
      </c>
      <c r="AB135" s="1">
        <v>59</v>
      </c>
    </row>
    <row r="136" spans="1:28">
      <c r="A136" t="s">
        <v>297</v>
      </c>
      <c r="B136" s="1" t="s">
        <v>298</v>
      </c>
      <c r="C136" s="1" t="s">
        <v>105</v>
      </c>
      <c r="D136" s="1">
        <v>2013</v>
      </c>
      <c r="E136" s="3">
        <v>1252563873</v>
      </c>
      <c r="F136" s="3" t="str" cm="1">
        <f t="array" ref="F136">_xlfn.IFS(STREAMS_STATS[[#This Row],[Streams]] &gt;= 1000000000, "1B+", STREAMS_STATS[[#This Row],[Streams]] &gt;= 500000000, "500M–1B", STREAMS_STATS[[#This Row],[Streams]] &gt;= 250000000, "250M–500M", TRUE, "Under 250M")</f>
        <v>1B+</v>
      </c>
      <c r="G136" s="1">
        <v>12755</v>
      </c>
      <c r="H136" s="1">
        <v>53</v>
      </c>
      <c r="I136" s="1">
        <v>9</v>
      </c>
      <c r="J136" s="1">
        <v>37084</v>
      </c>
      <c r="K136" s="1">
        <v>9</v>
      </c>
      <c r="L136" s="1">
        <v>12</v>
      </c>
      <c r="M136" s="1">
        <v>10</v>
      </c>
      <c r="N136" s="1">
        <v>12973</v>
      </c>
      <c r="O136" s="1">
        <v>83</v>
      </c>
      <c r="P136" s="2">
        <f>SUM(STREAMS_STATS[[#This Row],[In Spotify Playlists]],STREAMS_STATS[[#This Row],[In Apple Playlists]],STREAMS_STATS[[#This Row],[In Deezer Playlists]],STREAMS_STATS[[#This Row],[In YouTube Playlists]])</f>
        <v>62824</v>
      </c>
      <c r="Q136" s="1">
        <v>129</v>
      </c>
      <c r="R136" s="1">
        <v>-3</v>
      </c>
      <c r="S136" s="1" t="s">
        <v>68</v>
      </c>
      <c r="T136" s="1">
        <v>84</v>
      </c>
      <c r="U136" s="1">
        <v>61</v>
      </c>
      <c r="V136" s="1">
        <v>12</v>
      </c>
      <c r="W136" s="1">
        <v>44</v>
      </c>
      <c r="X136" s="1">
        <v>213</v>
      </c>
      <c r="Y136" s="5">
        <f>STREAMS_STATS[[#This Row],[Duration]]/60</f>
        <v>3.55</v>
      </c>
      <c r="Z136" s="1">
        <v>11</v>
      </c>
      <c r="AA136" s="1">
        <v>5</v>
      </c>
      <c r="AB136" s="1">
        <v>78</v>
      </c>
    </row>
    <row r="137" spans="1:28">
      <c r="A137" t="s">
        <v>299</v>
      </c>
      <c r="B137" s="1" t="s">
        <v>214</v>
      </c>
      <c r="C137" s="1" t="s">
        <v>67</v>
      </c>
      <c r="D137" s="1">
        <v>2015</v>
      </c>
      <c r="E137" s="3">
        <v>553634067</v>
      </c>
      <c r="F137" s="3" t="str" cm="1">
        <f t="array" ref="F13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37" s="1">
        <v>4511</v>
      </c>
      <c r="H137" s="1">
        <v>320</v>
      </c>
      <c r="I137" s="1">
        <v>110</v>
      </c>
      <c r="J137" s="1">
        <v>7252</v>
      </c>
      <c r="K137" s="1">
        <v>110</v>
      </c>
      <c r="L137" s="1">
        <v>163</v>
      </c>
      <c r="M137" s="1">
        <v>2</v>
      </c>
      <c r="N137" s="1">
        <v>21890</v>
      </c>
      <c r="O137" s="1">
        <v>328</v>
      </c>
      <c r="P137" s="2">
        <f>SUM(STREAMS_STATS[[#This Row],[In Spotify Playlists]],STREAMS_STATS[[#This Row],[In Apple Playlists]],STREAMS_STATS[[#This Row],[In Deezer Playlists]],STREAMS_STATS[[#This Row],[In YouTube Playlists]])</f>
        <v>33816</v>
      </c>
      <c r="Q137" s="1">
        <v>110</v>
      </c>
      <c r="R137" s="1">
        <v>-4</v>
      </c>
      <c r="S137" s="1" t="s">
        <v>68</v>
      </c>
      <c r="T137" s="1">
        <v>61</v>
      </c>
      <c r="U137" s="1">
        <v>83</v>
      </c>
      <c r="V137" s="1">
        <v>29</v>
      </c>
      <c r="W137" s="1">
        <v>71</v>
      </c>
      <c r="X137" s="1">
        <v>293</v>
      </c>
      <c r="Y137" s="5">
        <f>STREAMS_STATS[[#This Row],[Duration]]/60</f>
        <v>4.8833333333333337</v>
      </c>
      <c r="Z137" s="1">
        <v>9</v>
      </c>
      <c r="AA137" s="1">
        <v>7</v>
      </c>
      <c r="AB137" s="1">
        <v>70</v>
      </c>
    </row>
    <row r="138" spans="1:28">
      <c r="A138" t="s">
        <v>300</v>
      </c>
      <c r="B138" s="1" t="s">
        <v>176</v>
      </c>
      <c r="C138" s="1" t="s">
        <v>25</v>
      </c>
      <c r="D138" s="1">
        <v>2018</v>
      </c>
      <c r="E138" s="3">
        <v>231332117</v>
      </c>
      <c r="F138" s="3" t="str" cm="1">
        <f t="array" ref="F13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38" s="1">
        <v>1612</v>
      </c>
      <c r="H138" s="1">
        <v>275</v>
      </c>
      <c r="I138" s="1">
        <v>123</v>
      </c>
      <c r="J138" s="1">
        <v>6636</v>
      </c>
      <c r="K138" s="1">
        <v>123</v>
      </c>
      <c r="L138" s="1">
        <v>7</v>
      </c>
      <c r="M138" s="1">
        <v>26</v>
      </c>
      <c r="N138" s="1">
        <v>4493</v>
      </c>
      <c r="O138" s="1">
        <v>47</v>
      </c>
      <c r="P138" s="2">
        <f>SUM(STREAMS_STATS[[#This Row],[In Spotify Playlists]],STREAMS_STATS[[#This Row],[In Apple Playlists]],STREAMS_STATS[[#This Row],[In Deezer Playlists]],STREAMS_STATS[[#This Row],[In YouTube Playlists]])</f>
        <v>12748</v>
      </c>
      <c r="Q138" s="1">
        <v>130</v>
      </c>
      <c r="R138" s="1">
        <v>-8</v>
      </c>
      <c r="S138" s="1" t="s">
        <v>75</v>
      </c>
      <c r="T138" s="1">
        <v>59</v>
      </c>
      <c r="U138" s="1">
        <v>97</v>
      </c>
      <c r="V138" s="1">
        <v>8</v>
      </c>
      <c r="W138" s="1">
        <v>27</v>
      </c>
      <c r="X138" s="1">
        <v>264</v>
      </c>
      <c r="Y138" s="5">
        <f>STREAMS_STATS[[#This Row],[Duration]]/60</f>
        <v>4.4000000000000004</v>
      </c>
      <c r="Z138" s="1">
        <v>5</v>
      </c>
      <c r="AA138" s="1">
        <v>26</v>
      </c>
      <c r="AB138" s="1">
        <v>45</v>
      </c>
    </row>
    <row r="139" spans="1:28">
      <c r="A139" t="s">
        <v>301</v>
      </c>
      <c r="B139" s="1" t="s">
        <v>69</v>
      </c>
      <c r="C139" s="1" t="s">
        <v>67</v>
      </c>
      <c r="D139" s="1">
        <v>2014</v>
      </c>
      <c r="E139" s="3">
        <v>248511839</v>
      </c>
      <c r="F139" s="3" t="str" cm="1">
        <f t="array" ref="F139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39" s="1">
        <v>1860</v>
      </c>
      <c r="H139" s="1">
        <v>390</v>
      </c>
      <c r="I139" s="1">
        <v>1</v>
      </c>
      <c r="J139" s="1">
        <v>14482</v>
      </c>
      <c r="K139" s="1">
        <v>1</v>
      </c>
      <c r="L139" s="1">
        <v>17</v>
      </c>
      <c r="M139" s="1">
        <v>37</v>
      </c>
      <c r="N139" s="1">
        <v>38580</v>
      </c>
      <c r="O139" s="1">
        <v>61</v>
      </c>
      <c r="P139" s="2">
        <f>SUM(STREAMS_STATS[[#This Row],[In Spotify Playlists]],STREAMS_STATS[[#This Row],[In Apple Playlists]],STREAMS_STATS[[#This Row],[In Deezer Playlists]],STREAMS_STATS[[#This Row],[In YouTube Playlists]])</f>
        <v>54939</v>
      </c>
      <c r="Q139" s="1">
        <v>140</v>
      </c>
      <c r="R139" s="1">
        <v>-7</v>
      </c>
      <c r="S139" s="1" t="s">
        <v>75</v>
      </c>
      <c r="T139" s="1">
        <v>62</v>
      </c>
      <c r="U139" s="1">
        <v>59</v>
      </c>
      <c r="V139" s="1">
        <v>18</v>
      </c>
      <c r="W139" s="1">
        <v>40</v>
      </c>
      <c r="X139" s="1">
        <v>323</v>
      </c>
      <c r="Y139" s="5">
        <f>STREAMS_STATS[[#This Row],[Duration]]/60</f>
        <v>5.3833333333333337</v>
      </c>
      <c r="Z139" s="1">
        <v>1</v>
      </c>
      <c r="AA139" s="1">
        <v>5</v>
      </c>
      <c r="AB139" s="1">
        <v>52</v>
      </c>
    </row>
    <row r="140" spans="1:28">
      <c r="A140" t="s">
        <v>302</v>
      </c>
      <c r="B140" s="1" t="s">
        <v>303</v>
      </c>
      <c r="C140" s="1" t="s">
        <v>67</v>
      </c>
      <c r="D140" s="1">
        <v>2018</v>
      </c>
      <c r="E140" s="3">
        <v>1802514301</v>
      </c>
      <c r="F140" s="3" t="str" cm="1">
        <f t="array" ref="F140">_xlfn.IFS(STREAMS_STATS[[#This Row],[Streams]] &gt;= 1000000000, "1B+", STREAMS_STATS[[#This Row],[Streams]] &gt;= 500000000, "500M–1B", STREAMS_STATS[[#This Row],[Streams]] &gt;= 250000000, "250M–500M", TRUE, "Under 250M")</f>
        <v>1B+</v>
      </c>
      <c r="G140" s="1">
        <v>22923</v>
      </c>
      <c r="H140" s="1">
        <v>19</v>
      </c>
      <c r="I140" s="1">
        <v>111</v>
      </c>
      <c r="J140" s="1">
        <v>29548</v>
      </c>
      <c r="K140" s="1">
        <v>111</v>
      </c>
      <c r="L140" s="1">
        <v>310</v>
      </c>
      <c r="M140" s="1">
        <v>7</v>
      </c>
      <c r="N140" s="1">
        <v>37592</v>
      </c>
      <c r="O140" s="1">
        <v>377</v>
      </c>
      <c r="P140" s="2">
        <f>SUM(STREAMS_STATS[[#This Row],[In Spotify Playlists]],STREAMS_STATS[[#This Row],[In Apple Playlists]],STREAMS_STATS[[#This Row],[In Deezer Playlists]],STREAMS_STATS[[#This Row],[In YouTube Playlists]])</f>
        <v>90373</v>
      </c>
      <c r="Q140" s="1">
        <v>180</v>
      </c>
      <c r="R140" s="1">
        <v>-7</v>
      </c>
      <c r="S140" s="1" t="s">
        <v>75</v>
      </c>
      <c r="T140" s="1">
        <v>44</v>
      </c>
      <c r="U140" s="1">
        <v>26</v>
      </c>
      <c r="V140" s="1">
        <v>11</v>
      </c>
      <c r="W140" s="1">
        <v>10</v>
      </c>
      <c r="X140" s="1">
        <v>239</v>
      </c>
      <c r="Y140" s="5">
        <f>STREAMS_STATS[[#This Row],[Duration]]/60</f>
        <v>3.9833333333333334</v>
      </c>
      <c r="Z140" s="1">
        <v>10</v>
      </c>
      <c r="AA140" s="1">
        <v>4</v>
      </c>
      <c r="AB140" s="1">
        <v>83</v>
      </c>
    </row>
    <row r="141" spans="1:28">
      <c r="A141" t="s">
        <v>304</v>
      </c>
      <c r="B141" s="1" t="s">
        <v>197</v>
      </c>
      <c r="C141" s="1" t="s">
        <v>67</v>
      </c>
      <c r="D141" s="1">
        <v>2010</v>
      </c>
      <c r="E141" s="3">
        <v>1138474110</v>
      </c>
      <c r="F141" s="3" t="str" cm="1">
        <f t="array" ref="F141">_xlfn.IFS(STREAMS_STATS[[#This Row],[Streams]] &gt;= 1000000000, "1B+", STREAMS_STATS[[#This Row],[Streams]] &gt;= 500000000, "500M–1B", STREAMS_STATS[[#This Row],[Streams]] &gt;= 250000000, "250M–500M", TRUE, "Under 250M")</f>
        <v>1B+</v>
      </c>
      <c r="G141" s="1">
        <v>10426</v>
      </c>
      <c r="H141" s="1">
        <v>73</v>
      </c>
      <c r="I141" s="1">
        <v>116</v>
      </c>
      <c r="J141" s="1">
        <v>11495</v>
      </c>
      <c r="K141" s="1">
        <v>73</v>
      </c>
      <c r="L141" s="1">
        <v>2795</v>
      </c>
      <c r="M141" s="1">
        <v>106</v>
      </c>
      <c r="N141" s="1">
        <v>2496</v>
      </c>
      <c r="O141" s="1">
        <v>234</v>
      </c>
      <c r="P141" s="2">
        <f>SUM(STREAMS_STATS[[#This Row],[In Spotify Playlists]],STREAMS_STATS[[#This Row],[In Apple Playlists]],STREAMS_STATS[[#This Row],[In Deezer Playlists]],STREAMS_STATS[[#This Row],[In YouTube Playlists]])</f>
        <v>27212</v>
      </c>
      <c r="Q141" s="1">
        <v>120</v>
      </c>
      <c r="R141" s="1">
        <v>-4</v>
      </c>
      <c r="S141" s="1" t="s">
        <v>68</v>
      </c>
      <c r="T141" s="1">
        <v>78</v>
      </c>
      <c r="U141" s="1">
        <v>75</v>
      </c>
      <c r="V141" s="1">
        <v>4</v>
      </c>
      <c r="W141" s="1">
        <v>82</v>
      </c>
      <c r="X141" s="1">
        <v>203</v>
      </c>
      <c r="Y141" s="5">
        <f>STREAMS_STATS[[#This Row],[Duration]]/60</f>
        <v>3.3833333333333333</v>
      </c>
      <c r="Z141" s="1">
        <v>0</v>
      </c>
      <c r="AA141" s="1">
        <v>9</v>
      </c>
      <c r="AB141" s="1">
        <v>77</v>
      </c>
    </row>
    <row r="142" spans="1:28">
      <c r="A142" t="s">
        <v>305</v>
      </c>
      <c r="B142" s="1" t="s">
        <v>162</v>
      </c>
      <c r="C142" s="1" t="s">
        <v>67</v>
      </c>
      <c r="D142" s="1">
        <v>2011</v>
      </c>
      <c r="E142" s="3">
        <v>421135627</v>
      </c>
      <c r="F142" s="3" t="str" cm="1">
        <f t="array" ref="F14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42" s="1">
        <v>3291</v>
      </c>
      <c r="H142" s="1">
        <v>272</v>
      </c>
      <c r="I142" s="1">
        <v>288</v>
      </c>
      <c r="J142" s="1">
        <v>6108</v>
      </c>
      <c r="K142" s="1">
        <v>50</v>
      </c>
      <c r="L142" s="1">
        <v>1403</v>
      </c>
      <c r="M142" s="1">
        <v>147</v>
      </c>
      <c r="N142" s="1">
        <v>8391</v>
      </c>
      <c r="O142" s="1">
        <v>146</v>
      </c>
      <c r="P142" s="2">
        <f>SUM(STREAMS_STATS[[#This Row],[In Spotify Playlists]],STREAMS_STATS[[#This Row],[In Apple Playlists]],STREAMS_STATS[[#This Row],[In Deezer Playlists]],STREAMS_STATS[[#This Row],[In YouTube Playlists]])</f>
        <v>19193</v>
      </c>
      <c r="Q142" s="1">
        <v>152</v>
      </c>
      <c r="R142" s="1">
        <v>-5</v>
      </c>
      <c r="S142" s="1" t="s">
        <v>68</v>
      </c>
      <c r="T142" s="1">
        <v>87</v>
      </c>
      <c r="U142" s="1">
        <v>62</v>
      </c>
      <c r="V142" s="1">
        <v>37</v>
      </c>
      <c r="W142" s="1">
        <v>76</v>
      </c>
      <c r="X142" s="1">
        <v>230</v>
      </c>
      <c r="Y142" s="5">
        <f>STREAMS_STATS[[#This Row],[Duration]]/60</f>
        <v>3.8333333333333335</v>
      </c>
      <c r="Z142" s="1">
        <v>2</v>
      </c>
      <c r="AA142" s="1">
        <v>18</v>
      </c>
      <c r="AB142" s="1">
        <v>66</v>
      </c>
    </row>
    <row r="143" spans="1:28">
      <c r="A143" t="s">
        <v>306</v>
      </c>
      <c r="B143" s="1" t="s">
        <v>307</v>
      </c>
      <c r="C143" s="1" t="s">
        <v>23</v>
      </c>
      <c r="D143" s="1">
        <v>2015</v>
      </c>
      <c r="E143" s="3">
        <v>1316855716</v>
      </c>
      <c r="F143" s="3" t="str" cm="1">
        <f t="array" ref="F143">_xlfn.IFS(STREAMS_STATS[[#This Row],[Streams]] &gt;= 1000000000, "1B+", STREAMS_STATS[[#This Row],[Streams]] &gt;= 500000000, "500M–1B", STREAMS_STATS[[#This Row],[Streams]] &gt;= 250000000, "250M–500M", TRUE, "Under 250M")</f>
        <v>1B+</v>
      </c>
      <c r="G143" s="1">
        <v>14143</v>
      </c>
      <c r="H143" s="1">
        <v>51</v>
      </c>
      <c r="I143" s="1">
        <v>54</v>
      </c>
      <c r="J143" s="1">
        <v>13758</v>
      </c>
      <c r="K143" s="1">
        <v>54</v>
      </c>
      <c r="L143" s="1">
        <v>34</v>
      </c>
      <c r="M143" s="1">
        <v>41</v>
      </c>
      <c r="N143" s="1">
        <v>30799</v>
      </c>
      <c r="O143" s="1">
        <v>329</v>
      </c>
      <c r="P143" s="2">
        <f>SUM(STREAMS_STATS[[#This Row],[In Spotify Playlists]],STREAMS_STATS[[#This Row],[In Apple Playlists]],STREAMS_STATS[[#This Row],[In Deezer Playlists]],STREAMS_STATS[[#This Row],[In YouTube Playlists]])</f>
        <v>58734</v>
      </c>
      <c r="Q143" s="1">
        <v>120</v>
      </c>
      <c r="R143" s="1">
        <v>-6</v>
      </c>
      <c r="S143" s="1" t="s">
        <v>75</v>
      </c>
      <c r="T143" s="1">
        <v>38</v>
      </c>
      <c r="U143" s="1">
        <v>66</v>
      </c>
      <c r="V143" s="1">
        <v>10</v>
      </c>
      <c r="W143" s="1">
        <v>44</v>
      </c>
      <c r="X143" s="1">
        <v>252</v>
      </c>
      <c r="Y143" s="5">
        <f>STREAMS_STATS[[#This Row],[Duration]]/60</f>
        <v>4.2</v>
      </c>
      <c r="Z143" s="1">
        <v>39</v>
      </c>
      <c r="AA143" s="1">
        <v>3</v>
      </c>
      <c r="AB143" s="1">
        <v>79</v>
      </c>
    </row>
    <row r="144" spans="1:28">
      <c r="A144" t="s">
        <v>308</v>
      </c>
      <c r="B144" s="1" t="s">
        <v>209</v>
      </c>
      <c r="C144" s="1" t="s">
        <v>67</v>
      </c>
      <c r="D144" s="1">
        <v>2015</v>
      </c>
      <c r="E144" s="3">
        <v>433356509</v>
      </c>
      <c r="F144" s="3" t="str" cm="1">
        <f t="array" ref="F14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44" s="1">
        <v>3430</v>
      </c>
      <c r="H144" s="1">
        <v>293</v>
      </c>
      <c r="I144" s="1">
        <v>11</v>
      </c>
      <c r="J144" s="1">
        <v>24523</v>
      </c>
      <c r="K144" s="1">
        <v>11</v>
      </c>
      <c r="L144" s="1">
        <v>20</v>
      </c>
      <c r="M144" s="1">
        <v>35</v>
      </c>
      <c r="N144" s="1">
        <v>4457</v>
      </c>
      <c r="O144" s="1">
        <v>88</v>
      </c>
      <c r="P144" s="2">
        <f>SUM(STREAMS_STATS[[#This Row],[In Spotify Playlists]],STREAMS_STATS[[#This Row],[In Apple Playlists]],STREAMS_STATS[[#This Row],[In Deezer Playlists]],STREAMS_STATS[[#This Row],[In YouTube Playlists]])</f>
        <v>32430</v>
      </c>
      <c r="Q144" s="1">
        <v>124</v>
      </c>
      <c r="R144" s="1">
        <v>-4</v>
      </c>
      <c r="S144" s="1" t="s">
        <v>75</v>
      </c>
      <c r="T144" s="1">
        <v>94</v>
      </c>
      <c r="U144" s="1">
        <v>68</v>
      </c>
      <c r="V144" s="1">
        <v>12</v>
      </c>
      <c r="W144" s="1">
        <v>65</v>
      </c>
      <c r="X144" s="1">
        <v>230</v>
      </c>
      <c r="Y144" s="5">
        <f>STREAMS_STATS[[#This Row],[Duration]]/60</f>
        <v>3.8333333333333335</v>
      </c>
      <c r="Z144" s="1">
        <v>18</v>
      </c>
      <c r="AA144" s="1">
        <v>6</v>
      </c>
      <c r="AB144" s="1">
        <v>67</v>
      </c>
    </row>
    <row r="145" spans="1:28">
      <c r="A145" t="s">
        <v>309</v>
      </c>
      <c r="B145" s="1" t="s">
        <v>310</v>
      </c>
      <c r="C145" s="1" t="s">
        <v>67</v>
      </c>
      <c r="D145" s="1">
        <v>2010</v>
      </c>
      <c r="E145" s="3">
        <v>610045621</v>
      </c>
      <c r="F145" s="3" t="str" cm="1">
        <f t="array" ref="F14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45" s="1">
        <v>5073</v>
      </c>
      <c r="H145" s="1">
        <v>335</v>
      </c>
      <c r="I145" s="1">
        <v>348</v>
      </c>
      <c r="J145" s="1">
        <v>11720</v>
      </c>
      <c r="K145" s="1">
        <v>63</v>
      </c>
      <c r="L145" s="1">
        <v>3175</v>
      </c>
      <c r="M145" s="1">
        <v>193</v>
      </c>
      <c r="N145" s="1">
        <v>28880</v>
      </c>
      <c r="O145" s="1">
        <v>349</v>
      </c>
      <c r="P145" s="2">
        <f>SUM(STREAMS_STATS[[#This Row],[In Spotify Playlists]],STREAMS_STATS[[#This Row],[In Apple Playlists]],STREAMS_STATS[[#This Row],[In Deezer Playlists]],STREAMS_STATS[[#This Row],[In YouTube Playlists]])</f>
        <v>48848</v>
      </c>
      <c r="Q145" s="1">
        <v>121</v>
      </c>
      <c r="R145" s="1">
        <v>-4</v>
      </c>
      <c r="S145" s="1" t="s">
        <v>68</v>
      </c>
      <c r="T145" s="1">
        <v>61</v>
      </c>
      <c r="U145" s="1">
        <v>72</v>
      </c>
      <c r="V145" s="1">
        <v>11</v>
      </c>
      <c r="W145" s="1">
        <v>83</v>
      </c>
      <c r="X145" s="1">
        <v>202</v>
      </c>
      <c r="Y145" s="5">
        <f>STREAMS_STATS[[#This Row],[Duration]]/60</f>
        <v>3.3666666666666667</v>
      </c>
      <c r="Z145" s="1">
        <v>5</v>
      </c>
      <c r="AA145" s="1">
        <v>3</v>
      </c>
      <c r="AB145" s="1">
        <v>71</v>
      </c>
    </row>
    <row r="146" spans="1:28">
      <c r="A146" t="s">
        <v>311</v>
      </c>
      <c r="B146" s="1" t="s">
        <v>99</v>
      </c>
      <c r="C146" s="1" t="s">
        <v>100</v>
      </c>
      <c r="D146" s="1">
        <v>2015</v>
      </c>
      <c r="E146" s="3">
        <v>720825549</v>
      </c>
      <c r="F146" s="3" t="str" cm="1">
        <f t="array" ref="F14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46" s="1">
        <v>6290</v>
      </c>
      <c r="H146" s="1">
        <v>222</v>
      </c>
      <c r="I146" s="1">
        <v>91</v>
      </c>
      <c r="J146" s="1">
        <v>12614</v>
      </c>
      <c r="K146" s="1">
        <v>91</v>
      </c>
      <c r="L146" s="2">
        <v>4607</v>
      </c>
      <c r="M146" s="1">
        <v>1</v>
      </c>
      <c r="N146" s="1">
        <v>4841</v>
      </c>
      <c r="O146" s="1">
        <v>138</v>
      </c>
      <c r="P146" s="2">
        <f>SUM(STREAMS_STATS[[#This Row],[In Spotify Playlists]],STREAMS_STATS[[#This Row],[In Apple Playlists]],STREAMS_STATS[[#This Row],[In Deezer Playlists]],STREAMS_STATS[[#This Row],[In YouTube Playlists]])</f>
        <v>28352</v>
      </c>
      <c r="Q146" s="1">
        <v>130</v>
      </c>
      <c r="R146" s="1">
        <v>-5</v>
      </c>
      <c r="S146" s="1" t="s">
        <v>68</v>
      </c>
      <c r="T146" s="1">
        <v>79</v>
      </c>
      <c r="U146" s="1">
        <v>42</v>
      </c>
      <c r="V146" s="1">
        <v>15</v>
      </c>
      <c r="W146" s="1">
        <v>50</v>
      </c>
      <c r="X146" s="1">
        <v>257</v>
      </c>
      <c r="Y146" s="5">
        <f>STREAMS_STATS[[#This Row],[Duration]]/60</f>
        <v>4.2833333333333332</v>
      </c>
      <c r="Z146" s="1">
        <v>1</v>
      </c>
      <c r="AA146" s="1">
        <v>5</v>
      </c>
      <c r="AB146" s="1">
        <v>73</v>
      </c>
    </row>
    <row r="147" spans="1:28">
      <c r="A147" t="s">
        <v>312</v>
      </c>
      <c r="B147" s="1" t="s">
        <v>313</v>
      </c>
      <c r="C147" s="1" t="s">
        <v>24</v>
      </c>
      <c r="D147" s="1">
        <v>2016</v>
      </c>
      <c r="E147" s="3">
        <v>950906471</v>
      </c>
      <c r="F147" s="3" t="str" cm="1">
        <f t="array" ref="F14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47" s="1">
        <v>8506</v>
      </c>
      <c r="H147" s="1">
        <v>82</v>
      </c>
      <c r="I147" s="1">
        <v>57</v>
      </c>
      <c r="J147" s="1">
        <v>13725</v>
      </c>
      <c r="K147" s="1">
        <v>57</v>
      </c>
      <c r="L147" s="1">
        <v>30</v>
      </c>
      <c r="M147" s="1">
        <v>4</v>
      </c>
      <c r="N147" s="1">
        <v>1371</v>
      </c>
      <c r="O147" s="1">
        <v>277</v>
      </c>
      <c r="P147" s="2">
        <f>SUM(STREAMS_STATS[[#This Row],[In Spotify Playlists]],STREAMS_STATS[[#This Row],[In Apple Playlists]],STREAMS_STATS[[#This Row],[In Deezer Playlists]],STREAMS_STATS[[#This Row],[In YouTube Playlists]])</f>
        <v>23632</v>
      </c>
      <c r="Q147" s="1">
        <v>120</v>
      </c>
      <c r="R147" s="1">
        <v>-8</v>
      </c>
      <c r="S147" s="1" t="s">
        <v>75</v>
      </c>
      <c r="T147" s="1">
        <v>80</v>
      </c>
      <c r="U147" s="1">
        <v>61</v>
      </c>
      <c r="V147" s="1">
        <v>26</v>
      </c>
      <c r="W147" s="1">
        <v>52</v>
      </c>
      <c r="X147" s="1">
        <v>218</v>
      </c>
      <c r="Y147" s="5">
        <f>STREAMS_STATS[[#This Row],[Duration]]/60</f>
        <v>3.6333333333333333</v>
      </c>
      <c r="Z147" s="1">
        <v>1</v>
      </c>
      <c r="AA147" s="1">
        <v>5</v>
      </c>
      <c r="AB147" s="1">
        <v>76</v>
      </c>
    </row>
    <row r="148" spans="1:28">
      <c r="A148" t="s">
        <v>314</v>
      </c>
      <c r="B148" s="1" t="s">
        <v>315</v>
      </c>
      <c r="C148" s="1" t="s">
        <v>19</v>
      </c>
      <c r="D148" s="1">
        <v>2018</v>
      </c>
      <c r="E148" s="3">
        <v>1735441776</v>
      </c>
      <c r="F148" s="3" t="str" cm="1">
        <f t="array" ref="F148">_xlfn.IFS(STREAMS_STATS[[#This Row],[Streams]] &gt;= 1000000000, "1B+", STREAMS_STATS[[#This Row],[Streams]] &gt;= 500000000, "500M–1B", STREAMS_STATS[[#This Row],[Streams]] &gt;= 250000000, "250M–500M", TRUE, "Under 250M")</f>
        <v>1B+</v>
      </c>
      <c r="G148" s="1">
        <v>21811</v>
      </c>
      <c r="H148" s="1">
        <v>20</v>
      </c>
      <c r="I148" s="1">
        <v>106</v>
      </c>
      <c r="J148" s="1">
        <v>8238</v>
      </c>
      <c r="K148" s="1">
        <v>106</v>
      </c>
      <c r="L148" s="1">
        <v>439</v>
      </c>
      <c r="M148" s="1">
        <v>34</v>
      </c>
      <c r="N148" s="1">
        <v>26531</v>
      </c>
      <c r="O148" s="1">
        <v>368</v>
      </c>
      <c r="P148" s="2">
        <f>SUM(STREAMS_STATS[[#This Row],[In Spotify Playlists]],STREAMS_STATS[[#This Row],[In Apple Playlists]],STREAMS_STATS[[#This Row],[In Deezer Playlists]],STREAMS_STATS[[#This Row],[In YouTube Playlists]])</f>
        <v>57019</v>
      </c>
      <c r="Q148" s="1">
        <v>118</v>
      </c>
      <c r="R148" s="1">
        <v>-6</v>
      </c>
      <c r="S148" s="1" t="s">
        <v>75</v>
      </c>
      <c r="T148" s="1">
        <v>67</v>
      </c>
      <c r="U148" s="1">
        <v>59</v>
      </c>
      <c r="V148" s="1">
        <v>34</v>
      </c>
      <c r="W148" s="1">
        <v>51</v>
      </c>
      <c r="X148" s="1">
        <v>238</v>
      </c>
      <c r="Y148" s="5">
        <f>STREAMS_STATS[[#This Row],[Duration]]/60</f>
        <v>3.9666666666666668</v>
      </c>
      <c r="Z148" s="1">
        <v>1</v>
      </c>
      <c r="AA148" s="1">
        <v>5</v>
      </c>
      <c r="AB148" s="1">
        <v>82</v>
      </c>
    </row>
    <row r="149" spans="1:28">
      <c r="A149" t="s">
        <v>316</v>
      </c>
      <c r="B149" s="1" t="s">
        <v>283</v>
      </c>
      <c r="C149" s="1" t="s">
        <v>284</v>
      </c>
      <c r="D149" s="1">
        <v>2010</v>
      </c>
      <c r="E149" s="3">
        <v>1042568408</v>
      </c>
      <c r="F149" s="3" t="str" cm="1">
        <f t="array" ref="F149">_xlfn.IFS(STREAMS_STATS[[#This Row],[Streams]] &gt;= 1000000000, "1B+", STREAMS_STATS[[#This Row],[Streams]] &gt;= 500000000, "500M–1B", STREAMS_STATS[[#This Row],[Streams]] &gt;= 250000000, "250M–500M", TRUE, "Under 250M")</f>
        <v>1B+</v>
      </c>
      <c r="G149" s="1">
        <v>9151</v>
      </c>
      <c r="H149" s="1">
        <v>72</v>
      </c>
      <c r="I149" s="1">
        <v>193</v>
      </c>
      <c r="J149" s="1">
        <v>11297</v>
      </c>
      <c r="K149" s="1">
        <v>60</v>
      </c>
      <c r="L149" s="1">
        <v>1944</v>
      </c>
      <c r="M149" s="1">
        <v>130</v>
      </c>
      <c r="N149" s="1">
        <v>29887</v>
      </c>
      <c r="O149" s="1">
        <v>334</v>
      </c>
      <c r="P149" s="2">
        <f>SUM(STREAMS_STATS[[#This Row],[In Spotify Playlists]],STREAMS_STATS[[#This Row],[In Apple Playlists]],STREAMS_STATS[[#This Row],[In Deezer Playlists]],STREAMS_STATS[[#This Row],[In YouTube Playlists]])</f>
        <v>52279</v>
      </c>
      <c r="Q149" s="1">
        <v>93</v>
      </c>
      <c r="R149" s="1">
        <v>-8</v>
      </c>
      <c r="S149" s="1" t="s">
        <v>68</v>
      </c>
      <c r="T149" s="1">
        <v>37</v>
      </c>
      <c r="U149" s="1">
        <v>48</v>
      </c>
      <c r="V149" s="1">
        <v>12</v>
      </c>
      <c r="W149" s="1">
        <v>14</v>
      </c>
      <c r="X149" s="1">
        <v>216</v>
      </c>
      <c r="Y149" s="5">
        <f>STREAMS_STATS[[#This Row],[Duration]]/60</f>
        <v>3.6</v>
      </c>
      <c r="Z149" s="1">
        <v>74</v>
      </c>
      <c r="AA149" s="1">
        <v>3</v>
      </c>
      <c r="AB149" s="1">
        <v>76</v>
      </c>
    </row>
    <row r="150" spans="1:28">
      <c r="A150" t="s">
        <v>317</v>
      </c>
      <c r="B150" s="1" t="s">
        <v>77</v>
      </c>
      <c r="C150" s="1" t="s">
        <v>25</v>
      </c>
      <c r="D150" s="1">
        <v>2018</v>
      </c>
      <c r="E150" s="3">
        <v>532336353</v>
      </c>
      <c r="F150" s="3" t="str" cm="1">
        <f t="array" ref="F15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50" s="1">
        <v>4310</v>
      </c>
      <c r="H150" s="1">
        <v>371</v>
      </c>
      <c r="I150" s="1">
        <v>110</v>
      </c>
      <c r="J150" s="1">
        <v>12301</v>
      </c>
      <c r="K150" s="1">
        <v>110</v>
      </c>
      <c r="L150" s="1">
        <v>500</v>
      </c>
      <c r="M150" s="1">
        <v>46</v>
      </c>
      <c r="N150" s="1">
        <v>5053</v>
      </c>
      <c r="O150" s="1">
        <v>253</v>
      </c>
      <c r="P150" s="2">
        <f>SUM(STREAMS_STATS[[#This Row],[In Spotify Playlists]],STREAMS_STATS[[#This Row],[In Apple Playlists]],STREAMS_STATS[[#This Row],[In Deezer Playlists]],STREAMS_STATS[[#This Row],[In YouTube Playlists]])</f>
        <v>22164</v>
      </c>
      <c r="Q150" s="1">
        <v>159</v>
      </c>
      <c r="R150" s="1">
        <v>-6</v>
      </c>
      <c r="S150" s="1" t="s">
        <v>68</v>
      </c>
      <c r="T150" s="1">
        <v>59</v>
      </c>
      <c r="U150" s="1">
        <v>65</v>
      </c>
      <c r="V150" s="1">
        <v>11</v>
      </c>
      <c r="W150" s="1">
        <v>15</v>
      </c>
      <c r="X150" s="1">
        <v>245</v>
      </c>
      <c r="Y150" s="5">
        <f>STREAMS_STATS[[#This Row],[Duration]]/60</f>
        <v>4.083333333333333</v>
      </c>
      <c r="Z150" s="1">
        <v>1</v>
      </c>
      <c r="AA150" s="1">
        <v>6</v>
      </c>
      <c r="AB150" s="1">
        <v>70</v>
      </c>
    </row>
    <row r="151" spans="1:28">
      <c r="A151" t="s">
        <v>318</v>
      </c>
      <c r="B151" s="1" t="s">
        <v>121</v>
      </c>
      <c r="C151" s="1" t="s">
        <v>122</v>
      </c>
      <c r="D151" s="1">
        <v>2013</v>
      </c>
      <c r="E151" s="3">
        <v>806397070</v>
      </c>
      <c r="F151" s="3" t="str" cm="1">
        <f t="array" ref="F15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51" s="1">
        <v>7109</v>
      </c>
      <c r="H151" s="1">
        <v>160</v>
      </c>
      <c r="I151" s="1">
        <v>17</v>
      </c>
      <c r="J151" s="1">
        <v>1583</v>
      </c>
      <c r="K151" s="1">
        <v>17</v>
      </c>
      <c r="L151" s="1">
        <v>9339</v>
      </c>
      <c r="M151" s="1">
        <v>7</v>
      </c>
      <c r="N151" s="1">
        <v>35991</v>
      </c>
      <c r="O151" s="1">
        <v>77</v>
      </c>
      <c r="P151" s="2">
        <f>SUM(STREAMS_STATS[[#This Row],[In Spotify Playlists]],STREAMS_STATS[[#This Row],[In Apple Playlists]],STREAMS_STATS[[#This Row],[In Deezer Playlists]],STREAMS_STATS[[#This Row],[In YouTube Playlists]])</f>
        <v>54022</v>
      </c>
      <c r="Q151" s="1">
        <v>155</v>
      </c>
      <c r="R151" s="1">
        <v>-4</v>
      </c>
      <c r="S151" s="1" t="s">
        <v>68</v>
      </c>
      <c r="T151" s="1">
        <v>92</v>
      </c>
      <c r="U151" s="1">
        <v>47</v>
      </c>
      <c r="V151" s="1">
        <v>31</v>
      </c>
      <c r="W151" s="1">
        <v>73</v>
      </c>
      <c r="X151" s="1">
        <v>177</v>
      </c>
      <c r="Y151" s="5">
        <f>STREAMS_STATS[[#This Row],[Duration]]/60</f>
        <v>2.95</v>
      </c>
      <c r="Z151" s="1">
        <v>0</v>
      </c>
      <c r="AA151" s="1">
        <v>6</v>
      </c>
      <c r="AB151" s="1">
        <v>74</v>
      </c>
    </row>
    <row r="152" spans="1:28">
      <c r="A152" t="s">
        <v>319</v>
      </c>
      <c r="B152" s="1" t="s">
        <v>320</v>
      </c>
      <c r="C152" s="1" t="s">
        <v>67</v>
      </c>
      <c r="D152" s="1">
        <v>2018</v>
      </c>
      <c r="E152" s="3">
        <v>614555082</v>
      </c>
      <c r="F152" s="3" t="str" cm="1">
        <f t="array" ref="F15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52" s="1">
        <v>5129</v>
      </c>
      <c r="H152" s="1">
        <v>194</v>
      </c>
      <c r="I152" s="1">
        <v>47</v>
      </c>
      <c r="J152" s="1">
        <v>5890</v>
      </c>
      <c r="K152" s="1">
        <v>47</v>
      </c>
      <c r="L152" s="1">
        <v>584</v>
      </c>
      <c r="M152" s="1">
        <v>1</v>
      </c>
      <c r="N152" s="1">
        <v>24575</v>
      </c>
      <c r="O152" s="1">
        <v>339</v>
      </c>
      <c r="P152" s="2">
        <f>SUM(STREAMS_STATS[[#This Row],[In Spotify Playlists]],STREAMS_STATS[[#This Row],[In Apple Playlists]],STREAMS_STATS[[#This Row],[In Deezer Playlists]],STREAMS_STATS[[#This Row],[In YouTube Playlists]])</f>
        <v>36178</v>
      </c>
      <c r="Q152" s="1">
        <v>93</v>
      </c>
      <c r="R152" s="1">
        <v>-5</v>
      </c>
      <c r="S152" s="1" t="s">
        <v>68</v>
      </c>
      <c r="T152" s="1">
        <v>81</v>
      </c>
      <c r="U152" s="1">
        <v>64</v>
      </c>
      <c r="V152" s="1">
        <v>8</v>
      </c>
      <c r="W152" s="1">
        <v>91</v>
      </c>
      <c r="X152" s="1">
        <v>197</v>
      </c>
      <c r="Y152" s="5">
        <f>STREAMS_STATS[[#This Row],[Duration]]/60</f>
        <v>3.2833333333333332</v>
      </c>
      <c r="Z152" s="1">
        <v>2</v>
      </c>
      <c r="AA152" s="1">
        <v>33</v>
      </c>
      <c r="AB152" s="1">
        <v>72</v>
      </c>
    </row>
    <row r="153" spans="1:28">
      <c r="A153" t="s">
        <v>321</v>
      </c>
      <c r="B153" s="1" t="s">
        <v>322</v>
      </c>
      <c r="C153" s="1" t="s">
        <v>323</v>
      </c>
      <c r="D153" s="1">
        <v>2014</v>
      </c>
      <c r="E153" s="3">
        <v>560222750</v>
      </c>
      <c r="F153" s="3" t="str" cm="1">
        <f t="array" ref="F15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53" s="1">
        <v>4564</v>
      </c>
      <c r="H153" s="1">
        <v>124</v>
      </c>
      <c r="I153" s="1">
        <v>40</v>
      </c>
      <c r="J153" s="1">
        <v>3029</v>
      </c>
      <c r="K153" s="1">
        <v>86</v>
      </c>
      <c r="L153" s="1">
        <v>2</v>
      </c>
      <c r="M153" s="1">
        <v>2</v>
      </c>
      <c r="N153" s="1">
        <v>38463</v>
      </c>
      <c r="O153" s="1">
        <v>153</v>
      </c>
      <c r="P153" s="2">
        <f>SUM(STREAMS_STATS[[#This Row],[In Spotify Playlists]],STREAMS_STATS[[#This Row],[In Apple Playlists]],STREAMS_STATS[[#This Row],[In Deezer Playlists]],STREAMS_STATS[[#This Row],[In YouTube Playlists]])</f>
        <v>46058</v>
      </c>
      <c r="Q153" s="1">
        <v>95</v>
      </c>
      <c r="R153" s="1">
        <v>-4</v>
      </c>
      <c r="S153" s="1" t="s">
        <v>68</v>
      </c>
      <c r="T153" s="1">
        <v>72</v>
      </c>
      <c r="U153" s="1">
        <v>91</v>
      </c>
      <c r="V153" s="1">
        <v>5</v>
      </c>
      <c r="W153" s="1">
        <v>38</v>
      </c>
      <c r="X153" s="1">
        <v>200</v>
      </c>
      <c r="Y153" s="5">
        <f>STREAMS_STATS[[#This Row],[Duration]]/60</f>
        <v>3.3333333333333335</v>
      </c>
      <c r="Z153" s="1">
        <v>9</v>
      </c>
      <c r="AA153" s="1">
        <v>7</v>
      </c>
      <c r="AB153" s="1">
        <v>70</v>
      </c>
    </row>
    <row r="154" spans="1:28">
      <c r="A154" t="s">
        <v>324</v>
      </c>
      <c r="B154" s="1" t="s">
        <v>95</v>
      </c>
      <c r="C154" s="1" t="s">
        <v>67</v>
      </c>
      <c r="D154" s="1">
        <v>2015</v>
      </c>
      <c r="E154" s="3">
        <v>271666301</v>
      </c>
      <c r="F154" s="3" t="str" cm="1">
        <f t="array" ref="F15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54" s="1">
        <v>2000</v>
      </c>
      <c r="H154" s="1">
        <v>237</v>
      </c>
      <c r="I154" s="1">
        <v>35</v>
      </c>
      <c r="J154" s="1">
        <v>22088</v>
      </c>
      <c r="K154" s="1">
        <v>10</v>
      </c>
      <c r="L154" s="1">
        <v>19</v>
      </c>
      <c r="M154" s="1">
        <v>20</v>
      </c>
      <c r="N154" s="1">
        <v>34780</v>
      </c>
      <c r="O154" s="1">
        <v>69</v>
      </c>
      <c r="P154" s="2">
        <f>SUM(STREAMS_STATS[[#This Row],[In Spotify Playlists]],STREAMS_STATS[[#This Row],[In Apple Playlists]],STREAMS_STATS[[#This Row],[In Deezer Playlists]],STREAMS_STATS[[#This Row],[In YouTube Playlists]])</f>
        <v>58887</v>
      </c>
      <c r="Q154" s="1">
        <v>156</v>
      </c>
      <c r="R154" s="1">
        <v>-6</v>
      </c>
      <c r="S154" s="1" t="s">
        <v>68</v>
      </c>
      <c r="T154" s="1">
        <v>60</v>
      </c>
      <c r="U154" s="1">
        <v>47</v>
      </c>
      <c r="V154" s="1">
        <v>9</v>
      </c>
      <c r="W154" s="1">
        <v>4</v>
      </c>
      <c r="X154" s="1">
        <v>292</v>
      </c>
      <c r="Y154" s="5">
        <f>STREAMS_STATS[[#This Row],[Duration]]/60</f>
        <v>4.8666666666666663</v>
      </c>
      <c r="Z154" s="1">
        <v>33</v>
      </c>
      <c r="AA154" s="1">
        <v>5</v>
      </c>
      <c r="AB154" s="1">
        <v>55</v>
      </c>
    </row>
    <row r="155" spans="1:28">
      <c r="A155" t="s">
        <v>325</v>
      </c>
      <c r="B155" s="1" t="s">
        <v>226</v>
      </c>
      <c r="C155" s="1" t="s">
        <v>67</v>
      </c>
      <c r="D155" s="1">
        <v>2013</v>
      </c>
      <c r="E155" s="3">
        <v>570515054</v>
      </c>
      <c r="F155" s="3" t="str" cm="1">
        <f t="array" ref="F15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55" s="1">
        <v>4627</v>
      </c>
      <c r="H155" s="1">
        <v>378</v>
      </c>
      <c r="I155" s="1">
        <v>3</v>
      </c>
      <c r="J155" s="1">
        <v>4822</v>
      </c>
      <c r="K155" s="1">
        <v>3</v>
      </c>
      <c r="L155" s="1">
        <v>6</v>
      </c>
      <c r="M155" s="1">
        <v>30</v>
      </c>
      <c r="N155" s="1">
        <v>14815</v>
      </c>
      <c r="O155" s="1">
        <v>345</v>
      </c>
      <c r="P155" s="2">
        <f>SUM(STREAMS_STATS[[#This Row],[In Spotify Playlists]],STREAMS_STATS[[#This Row],[In Apple Playlists]],STREAMS_STATS[[#This Row],[In Deezer Playlists]],STREAMS_STATS[[#This Row],[In YouTube Playlists]])</f>
        <v>24270</v>
      </c>
      <c r="Q155" s="1">
        <v>136</v>
      </c>
      <c r="R155" s="1">
        <v>-4</v>
      </c>
      <c r="S155" s="1" t="s">
        <v>75</v>
      </c>
      <c r="T155" s="1">
        <v>76</v>
      </c>
      <c r="U155" s="1">
        <v>67</v>
      </c>
      <c r="V155" s="1">
        <v>34</v>
      </c>
      <c r="W155" s="1">
        <v>54</v>
      </c>
      <c r="X155" s="1">
        <v>230</v>
      </c>
      <c r="Y155" s="5">
        <f>STREAMS_STATS[[#This Row],[Duration]]/60</f>
        <v>3.8333333333333335</v>
      </c>
      <c r="Z155" s="1">
        <v>4</v>
      </c>
      <c r="AA155" s="1">
        <v>16</v>
      </c>
      <c r="AB155" s="1">
        <v>70</v>
      </c>
    </row>
    <row r="156" spans="1:28">
      <c r="A156" t="s">
        <v>326</v>
      </c>
      <c r="B156" s="1" t="s">
        <v>327</v>
      </c>
      <c r="C156" s="1" t="s">
        <v>67</v>
      </c>
      <c r="D156" s="1">
        <v>2018</v>
      </c>
      <c r="E156" s="3">
        <v>284216603</v>
      </c>
      <c r="F156" s="3" t="str" cm="1">
        <f t="array" ref="F15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56" s="1">
        <v>2098</v>
      </c>
      <c r="H156" s="1">
        <v>164</v>
      </c>
      <c r="I156" s="1">
        <v>14</v>
      </c>
      <c r="J156" s="1">
        <v>16009</v>
      </c>
      <c r="K156" s="1">
        <v>14</v>
      </c>
      <c r="L156" s="1">
        <v>90</v>
      </c>
      <c r="M156" s="1">
        <v>13</v>
      </c>
      <c r="N156" s="1">
        <v>2167</v>
      </c>
      <c r="O156" s="1">
        <v>391</v>
      </c>
      <c r="P156" s="2">
        <f>SUM(STREAMS_STATS[[#This Row],[In Spotify Playlists]],STREAMS_STATS[[#This Row],[In Apple Playlists]],STREAMS_STATS[[#This Row],[In Deezer Playlists]],STREAMS_STATS[[#This Row],[In YouTube Playlists]])</f>
        <v>20364</v>
      </c>
      <c r="Q156" s="1">
        <v>77</v>
      </c>
      <c r="R156" s="1">
        <v>-6</v>
      </c>
      <c r="S156" s="1" t="s">
        <v>68</v>
      </c>
      <c r="T156" s="1">
        <v>48</v>
      </c>
      <c r="U156" s="1">
        <v>58</v>
      </c>
      <c r="V156" s="1">
        <v>10</v>
      </c>
      <c r="W156" s="1">
        <v>42</v>
      </c>
      <c r="X156" s="1">
        <v>213</v>
      </c>
      <c r="Y156" s="5">
        <f>STREAMS_STATS[[#This Row],[Duration]]/60</f>
        <v>3.55</v>
      </c>
      <c r="Z156" s="1">
        <v>2</v>
      </c>
      <c r="AA156" s="1">
        <v>3</v>
      </c>
      <c r="AB156" s="1">
        <v>57</v>
      </c>
    </row>
    <row r="157" spans="1:28">
      <c r="A157" t="s">
        <v>328</v>
      </c>
      <c r="B157" s="1" t="s">
        <v>219</v>
      </c>
      <c r="C157" s="1" t="s">
        <v>67</v>
      </c>
      <c r="D157" s="1">
        <v>2018</v>
      </c>
      <c r="E157" s="3">
        <v>328207708</v>
      </c>
      <c r="F157" s="3" t="str" cm="1">
        <f t="array" ref="F15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57" s="1">
        <v>2551</v>
      </c>
      <c r="H157" s="1">
        <v>242</v>
      </c>
      <c r="I157" s="1">
        <v>51</v>
      </c>
      <c r="J157" s="1">
        <v>23192</v>
      </c>
      <c r="K157" s="1">
        <v>51</v>
      </c>
      <c r="L157" s="1">
        <v>187</v>
      </c>
      <c r="M157" s="1">
        <v>1</v>
      </c>
      <c r="N157" s="1">
        <v>5426</v>
      </c>
      <c r="O157" s="1">
        <v>183</v>
      </c>
      <c r="P157" s="2">
        <f>SUM(STREAMS_STATS[[#This Row],[In Spotify Playlists]],STREAMS_STATS[[#This Row],[In Apple Playlists]],STREAMS_STATS[[#This Row],[In Deezer Playlists]],STREAMS_STATS[[#This Row],[In YouTube Playlists]])</f>
        <v>31356</v>
      </c>
      <c r="Q157" s="1">
        <v>97</v>
      </c>
      <c r="R157" s="1">
        <v>-6</v>
      </c>
      <c r="S157" s="1" t="s">
        <v>75</v>
      </c>
      <c r="T157" s="1">
        <v>58</v>
      </c>
      <c r="U157" s="1">
        <v>75</v>
      </c>
      <c r="V157" s="1">
        <v>25</v>
      </c>
      <c r="W157" s="1">
        <v>65</v>
      </c>
      <c r="X157" s="1">
        <v>294</v>
      </c>
      <c r="Y157" s="5">
        <f>STREAMS_STATS[[#This Row],[Duration]]/60</f>
        <v>4.9000000000000004</v>
      </c>
      <c r="Z157" s="1">
        <v>4</v>
      </c>
      <c r="AA157" s="1">
        <v>14</v>
      </c>
      <c r="AB157" s="1">
        <v>62</v>
      </c>
    </row>
    <row r="158" spans="1:28">
      <c r="A158" t="s">
        <v>329</v>
      </c>
      <c r="B158" s="1" t="s">
        <v>330</v>
      </c>
      <c r="C158" s="1" t="s">
        <v>67</v>
      </c>
      <c r="D158" s="1">
        <v>2016</v>
      </c>
      <c r="E158" s="3">
        <v>629173063</v>
      </c>
      <c r="F158" s="3" t="str" cm="1">
        <f t="array" ref="F15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58" s="1">
        <v>5257</v>
      </c>
      <c r="H158" s="1">
        <v>308</v>
      </c>
      <c r="I158" s="1">
        <v>4</v>
      </c>
      <c r="J158" s="1">
        <v>39879</v>
      </c>
      <c r="K158" s="1">
        <v>14</v>
      </c>
      <c r="L158" s="1">
        <v>63</v>
      </c>
      <c r="M158" s="1">
        <v>42</v>
      </c>
      <c r="N158" s="1">
        <v>28418</v>
      </c>
      <c r="O158" s="1">
        <v>178</v>
      </c>
      <c r="P158" s="2">
        <f>SUM(STREAMS_STATS[[#This Row],[In Spotify Playlists]],STREAMS_STATS[[#This Row],[In Apple Playlists]],STREAMS_STATS[[#This Row],[In Deezer Playlists]],STREAMS_STATS[[#This Row],[In YouTube Playlists]])</f>
        <v>73617</v>
      </c>
      <c r="Q158" s="1">
        <v>105</v>
      </c>
      <c r="R158" s="1">
        <v>-6</v>
      </c>
      <c r="S158" s="1" t="s">
        <v>75</v>
      </c>
      <c r="T158" s="1">
        <v>67</v>
      </c>
      <c r="U158" s="1">
        <v>70</v>
      </c>
      <c r="V158" s="1">
        <v>8</v>
      </c>
      <c r="W158" s="1">
        <v>25</v>
      </c>
      <c r="X158" s="1">
        <v>236</v>
      </c>
      <c r="Y158" s="5">
        <f>STREAMS_STATS[[#This Row],[Duration]]/60</f>
        <v>3.9333333333333331</v>
      </c>
      <c r="Z158" s="1">
        <v>1</v>
      </c>
      <c r="AA158" s="1">
        <v>3</v>
      </c>
      <c r="AB158" s="1">
        <v>72</v>
      </c>
    </row>
    <row r="159" spans="1:28">
      <c r="A159" t="s">
        <v>331</v>
      </c>
      <c r="B159" s="1" t="s">
        <v>332</v>
      </c>
      <c r="C159" s="1" t="s">
        <v>67</v>
      </c>
      <c r="D159" s="1">
        <v>2013</v>
      </c>
      <c r="E159" s="3">
        <v>252871192</v>
      </c>
      <c r="F159" s="3" t="str" cm="1">
        <f t="array" ref="F15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59" s="1">
        <v>1890</v>
      </c>
      <c r="H159" s="1">
        <v>305</v>
      </c>
      <c r="I159" s="1">
        <v>87</v>
      </c>
      <c r="J159" s="1">
        <v>28973</v>
      </c>
      <c r="K159" s="1">
        <v>87</v>
      </c>
      <c r="L159" s="2">
        <v>1056</v>
      </c>
      <c r="M159" s="1">
        <v>1</v>
      </c>
      <c r="N159" s="1">
        <v>14225</v>
      </c>
      <c r="O159" s="1">
        <v>241</v>
      </c>
      <c r="P159" s="2">
        <f>SUM(STREAMS_STATS[[#This Row],[In Spotify Playlists]],STREAMS_STATS[[#This Row],[In Apple Playlists]],STREAMS_STATS[[#This Row],[In Deezer Playlists]],STREAMS_STATS[[#This Row],[In YouTube Playlists]])</f>
        <v>46144</v>
      </c>
      <c r="Q159" s="1">
        <v>128</v>
      </c>
      <c r="R159" s="1">
        <v>-5</v>
      </c>
      <c r="S159" s="1" t="s">
        <v>68</v>
      </c>
      <c r="T159" s="1">
        <v>88</v>
      </c>
      <c r="U159" s="1">
        <v>62</v>
      </c>
      <c r="V159" s="1">
        <v>35</v>
      </c>
      <c r="W159" s="1">
        <v>66</v>
      </c>
      <c r="X159" s="1">
        <v>221</v>
      </c>
      <c r="Y159" s="5">
        <f>STREAMS_STATS[[#This Row],[Duration]]/60</f>
        <v>3.6833333333333331</v>
      </c>
      <c r="Z159" s="1">
        <v>1</v>
      </c>
      <c r="AA159" s="1">
        <v>10</v>
      </c>
      <c r="AB159" s="1">
        <v>52</v>
      </c>
    </row>
    <row r="160" spans="1:28">
      <c r="A160" t="s">
        <v>333</v>
      </c>
      <c r="B160" s="1" t="s">
        <v>334</v>
      </c>
      <c r="C160" s="1" t="s">
        <v>67</v>
      </c>
      <c r="D160" s="1">
        <v>2019</v>
      </c>
      <c r="E160" s="3">
        <v>824420218</v>
      </c>
      <c r="F160" s="3" t="str" cm="1">
        <f t="array" ref="F16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60" s="1">
        <v>7461</v>
      </c>
      <c r="H160" s="1">
        <v>166</v>
      </c>
      <c r="I160" s="1">
        <v>76</v>
      </c>
      <c r="J160" s="1">
        <v>34089</v>
      </c>
      <c r="K160" s="1">
        <v>76</v>
      </c>
      <c r="L160" s="1">
        <v>335</v>
      </c>
      <c r="M160" s="1">
        <v>22</v>
      </c>
      <c r="N160" s="1">
        <v>23093</v>
      </c>
      <c r="O160" s="1">
        <v>34</v>
      </c>
      <c r="P160" s="2">
        <f>SUM(STREAMS_STATS[[#This Row],[In Spotify Playlists]],STREAMS_STATS[[#This Row],[In Apple Playlists]],STREAMS_STATS[[#This Row],[In Deezer Playlists]],STREAMS_STATS[[#This Row],[In YouTube Playlists]])</f>
        <v>64978</v>
      </c>
      <c r="Q160" s="1">
        <v>104</v>
      </c>
      <c r="R160" s="1">
        <v>-7</v>
      </c>
      <c r="S160" s="1" t="s">
        <v>68</v>
      </c>
      <c r="T160" s="1">
        <v>66</v>
      </c>
      <c r="U160" s="1">
        <v>61</v>
      </c>
      <c r="V160" s="1">
        <v>20</v>
      </c>
      <c r="W160" s="1">
        <v>16</v>
      </c>
      <c r="X160" s="1">
        <v>176</v>
      </c>
      <c r="Y160" s="5">
        <f>STREAMS_STATS[[#This Row],[Duration]]/60</f>
        <v>2.9333333333333331</v>
      </c>
      <c r="Z160" s="1">
        <v>1</v>
      </c>
      <c r="AA160" s="1">
        <v>3</v>
      </c>
      <c r="AB160" s="1">
        <v>75</v>
      </c>
    </row>
    <row r="161" spans="1:28">
      <c r="A161" t="s">
        <v>335</v>
      </c>
      <c r="B161" s="1" t="s">
        <v>38</v>
      </c>
      <c r="C161" s="1" t="s">
        <v>25</v>
      </c>
      <c r="D161" s="1">
        <v>2018</v>
      </c>
      <c r="E161" s="3">
        <v>1167330737</v>
      </c>
      <c r="F161" s="3" t="str" cm="1">
        <f t="array" ref="F161">_xlfn.IFS(STREAMS_STATS[[#This Row],[Streams]] &gt;= 1000000000, "1B+", STREAMS_STATS[[#This Row],[Streams]] &gt;= 500000000, "500M–1B", STREAMS_STATS[[#This Row],[Streams]] &gt;= 250000000, "250M–500M", TRUE, "Under 250M")</f>
        <v>1B+</v>
      </c>
      <c r="G161" s="1">
        <v>10829</v>
      </c>
      <c r="H161" s="1">
        <v>77</v>
      </c>
      <c r="I161" s="1">
        <v>7</v>
      </c>
      <c r="J161" s="1">
        <v>21981</v>
      </c>
      <c r="K161" s="1">
        <v>7</v>
      </c>
      <c r="L161" s="1">
        <v>298</v>
      </c>
      <c r="M161" s="1">
        <v>44</v>
      </c>
      <c r="N161" s="1">
        <v>38421</v>
      </c>
      <c r="O161" s="1">
        <v>269</v>
      </c>
      <c r="P161" s="2">
        <f>SUM(STREAMS_STATS[[#This Row],[In Spotify Playlists]],STREAMS_STATS[[#This Row],[In Apple Playlists]],STREAMS_STATS[[#This Row],[In Deezer Playlists]],STREAMS_STATS[[#This Row],[In YouTube Playlists]])</f>
        <v>71529</v>
      </c>
      <c r="Q161" s="1">
        <v>105</v>
      </c>
      <c r="R161" s="1">
        <v>-5</v>
      </c>
      <c r="S161" s="1" t="s">
        <v>68</v>
      </c>
      <c r="T161" s="1">
        <v>86</v>
      </c>
      <c r="U161" s="1">
        <v>70</v>
      </c>
      <c r="V161" s="1">
        <v>2</v>
      </c>
      <c r="W161" s="1">
        <v>93</v>
      </c>
      <c r="X161" s="1">
        <v>217</v>
      </c>
      <c r="Y161" s="5">
        <f>STREAMS_STATS[[#This Row],[Duration]]/60</f>
        <v>3.6166666666666667</v>
      </c>
      <c r="Z161" s="1">
        <v>2</v>
      </c>
      <c r="AA161" s="1">
        <v>10</v>
      </c>
      <c r="AB161" s="1">
        <v>78</v>
      </c>
    </row>
    <row r="162" spans="1:28">
      <c r="A162" t="s">
        <v>336</v>
      </c>
      <c r="B162" s="1" t="s">
        <v>226</v>
      </c>
      <c r="C162" s="1" t="s">
        <v>67</v>
      </c>
      <c r="D162" s="1">
        <v>2015</v>
      </c>
      <c r="E162" s="3">
        <v>436027885</v>
      </c>
      <c r="F162" s="3" t="str" cm="1">
        <f t="array" ref="F16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62" s="1">
        <v>3436</v>
      </c>
      <c r="H162" s="1">
        <v>261</v>
      </c>
      <c r="I162" s="1">
        <v>50</v>
      </c>
      <c r="J162" s="1">
        <v>12373</v>
      </c>
      <c r="K162" s="1">
        <v>52</v>
      </c>
      <c r="L162" s="1">
        <v>8</v>
      </c>
      <c r="M162" s="1">
        <v>38</v>
      </c>
      <c r="N162" s="1">
        <v>8458</v>
      </c>
      <c r="O162" s="1">
        <v>362</v>
      </c>
      <c r="P162" s="2">
        <f>SUM(STREAMS_STATS[[#This Row],[In Spotify Playlists]],STREAMS_STATS[[#This Row],[In Apple Playlists]],STREAMS_STATS[[#This Row],[In Deezer Playlists]],STREAMS_STATS[[#This Row],[In YouTube Playlists]])</f>
        <v>24275</v>
      </c>
      <c r="Q162" s="1">
        <v>123</v>
      </c>
      <c r="R162" s="1">
        <v>-5</v>
      </c>
      <c r="S162" s="1" t="s">
        <v>68</v>
      </c>
      <c r="T162" s="1">
        <v>94</v>
      </c>
      <c r="U162" s="1">
        <v>69</v>
      </c>
      <c r="V162" s="1">
        <v>5</v>
      </c>
      <c r="W162" s="1">
        <v>79</v>
      </c>
      <c r="X162" s="1">
        <v>235</v>
      </c>
      <c r="Y162" s="5">
        <f>STREAMS_STATS[[#This Row],[Duration]]/60</f>
        <v>3.9166666666666665</v>
      </c>
      <c r="Z162" s="1">
        <v>9</v>
      </c>
      <c r="AA162" s="1">
        <v>6</v>
      </c>
      <c r="AB162" s="1">
        <v>67</v>
      </c>
    </row>
    <row r="163" spans="1:28">
      <c r="A163" t="s">
        <v>337</v>
      </c>
      <c r="B163" s="1" t="s">
        <v>162</v>
      </c>
      <c r="C163" s="1" t="s">
        <v>67</v>
      </c>
      <c r="D163" s="1">
        <v>2011</v>
      </c>
      <c r="E163" s="3">
        <v>200972675</v>
      </c>
      <c r="F163" s="3" t="str" cm="1">
        <f t="array" ref="F16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63" s="1">
        <v>1401</v>
      </c>
      <c r="H163" s="1">
        <v>387</v>
      </c>
      <c r="I163" s="1">
        <v>317</v>
      </c>
      <c r="J163" s="1">
        <v>22685</v>
      </c>
      <c r="K163" s="1">
        <v>57</v>
      </c>
      <c r="L163" s="1">
        <v>8320</v>
      </c>
      <c r="M163" s="1">
        <v>86</v>
      </c>
      <c r="N163" s="1">
        <v>19137</v>
      </c>
      <c r="O163" s="1">
        <v>29</v>
      </c>
      <c r="P163" s="2">
        <f>SUM(STREAMS_STATS[[#This Row],[In Spotify Playlists]],STREAMS_STATS[[#This Row],[In Apple Playlists]],STREAMS_STATS[[#This Row],[In Deezer Playlists]],STREAMS_STATS[[#This Row],[In YouTube Playlists]])</f>
        <v>51543</v>
      </c>
      <c r="Q163" s="1">
        <v>124</v>
      </c>
      <c r="R163" s="1">
        <v>-5</v>
      </c>
      <c r="S163" s="1" t="s">
        <v>75</v>
      </c>
      <c r="T163" s="1">
        <v>83</v>
      </c>
      <c r="U163" s="1">
        <v>64</v>
      </c>
      <c r="V163" s="1">
        <v>11</v>
      </c>
      <c r="W163" s="1">
        <v>65</v>
      </c>
      <c r="X163" s="1">
        <v>228</v>
      </c>
      <c r="Y163" s="5">
        <f>STREAMS_STATS[[#This Row],[Duration]]/60</f>
        <v>3.8</v>
      </c>
      <c r="Z163" s="1">
        <v>14</v>
      </c>
      <c r="AA163" s="1">
        <v>5</v>
      </c>
      <c r="AB163" s="1">
        <v>25</v>
      </c>
    </row>
    <row r="164" spans="1:28">
      <c r="A164" t="s">
        <v>338</v>
      </c>
      <c r="B164" s="1" t="s">
        <v>339</v>
      </c>
      <c r="C164" s="1" t="s">
        <v>19</v>
      </c>
      <c r="D164" s="1">
        <v>2017</v>
      </c>
      <c r="E164" s="3">
        <v>583687007</v>
      </c>
      <c r="F164" s="3" t="str" cm="1">
        <f t="array" ref="F16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64" s="1">
        <v>4708</v>
      </c>
      <c r="H164" s="1">
        <v>438</v>
      </c>
      <c r="I164" s="1">
        <v>82</v>
      </c>
      <c r="J164" s="1">
        <v>15678</v>
      </c>
      <c r="K164" s="1">
        <v>82</v>
      </c>
      <c r="L164" s="2">
        <v>3425</v>
      </c>
      <c r="M164" s="1">
        <v>4</v>
      </c>
      <c r="N164" s="1">
        <v>17649</v>
      </c>
      <c r="O164" s="1">
        <v>78</v>
      </c>
      <c r="P164" s="2">
        <f>SUM(STREAMS_STATS[[#This Row],[In Spotify Playlists]],STREAMS_STATS[[#This Row],[In Apple Playlists]],STREAMS_STATS[[#This Row],[In Deezer Playlists]],STREAMS_STATS[[#This Row],[In YouTube Playlists]])</f>
        <v>41460</v>
      </c>
      <c r="Q164" s="1">
        <v>90</v>
      </c>
      <c r="R164" s="1">
        <v>-7</v>
      </c>
      <c r="S164" s="1" t="s">
        <v>68</v>
      </c>
      <c r="T164" s="1">
        <v>59</v>
      </c>
      <c r="U164" s="1">
        <v>63</v>
      </c>
      <c r="V164" s="1">
        <v>10</v>
      </c>
      <c r="W164" s="1">
        <v>68</v>
      </c>
      <c r="X164" s="1">
        <v>194</v>
      </c>
      <c r="Y164" s="5">
        <f>STREAMS_STATS[[#This Row],[Duration]]/60</f>
        <v>3.2333333333333334</v>
      </c>
      <c r="Z164" s="1">
        <v>20</v>
      </c>
      <c r="AA164" s="1">
        <v>11</v>
      </c>
      <c r="AB164" s="1">
        <v>71</v>
      </c>
    </row>
    <row r="165" spans="1:28">
      <c r="A165" t="s">
        <v>340</v>
      </c>
      <c r="B165" s="1" t="s">
        <v>40</v>
      </c>
      <c r="C165" s="1" t="s">
        <v>67</v>
      </c>
      <c r="D165" s="1">
        <v>2015</v>
      </c>
      <c r="E165" s="3">
        <v>404887295</v>
      </c>
      <c r="F165" s="3" t="str" cm="1">
        <f t="array" ref="F16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65" s="1">
        <v>3218</v>
      </c>
      <c r="H165" s="1">
        <v>401</v>
      </c>
      <c r="I165" s="1">
        <v>15</v>
      </c>
      <c r="J165" s="1">
        <v>13965</v>
      </c>
      <c r="K165" s="1">
        <v>79</v>
      </c>
      <c r="L165" s="1">
        <v>44</v>
      </c>
      <c r="M165" s="1">
        <v>26</v>
      </c>
      <c r="N165" s="1">
        <v>2382</v>
      </c>
      <c r="O165" s="1">
        <v>300</v>
      </c>
      <c r="P165" s="2">
        <f>SUM(STREAMS_STATS[[#This Row],[In Spotify Playlists]],STREAMS_STATS[[#This Row],[In Apple Playlists]],STREAMS_STATS[[#This Row],[In Deezer Playlists]],STREAMS_STATS[[#This Row],[In YouTube Playlists]])</f>
        <v>19609</v>
      </c>
      <c r="Q165" s="1">
        <v>100</v>
      </c>
      <c r="R165" s="1">
        <v>-6</v>
      </c>
      <c r="S165" s="1" t="s">
        <v>68</v>
      </c>
      <c r="T165" s="1">
        <v>88</v>
      </c>
      <c r="U165" s="1">
        <v>67</v>
      </c>
      <c r="V165" s="1">
        <v>44</v>
      </c>
      <c r="W165" s="1">
        <v>79</v>
      </c>
      <c r="X165" s="1">
        <v>211</v>
      </c>
      <c r="Y165" s="5">
        <f>STREAMS_STATS[[#This Row],[Duration]]/60</f>
        <v>3.5166666666666666</v>
      </c>
      <c r="Z165" s="1">
        <v>27</v>
      </c>
      <c r="AA165" s="1">
        <v>24</v>
      </c>
      <c r="AB165" s="1">
        <v>66</v>
      </c>
    </row>
    <row r="166" spans="1:28">
      <c r="A166" t="s">
        <v>341</v>
      </c>
      <c r="B166" s="1" t="s">
        <v>342</v>
      </c>
      <c r="C166" s="1" t="s">
        <v>343</v>
      </c>
      <c r="D166" s="1">
        <v>2013</v>
      </c>
      <c r="E166" s="3">
        <v>212234990</v>
      </c>
      <c r="F166" s="3" t="str" cm="1">
        <f t="array" ref="F16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66" s="1">
        <v>1492</v>
      </c>
      <c r="H166" s="1">
        <v>173</v>
      </c>
      <c r="I166" s="1">
        <v>67</v>
      </c>
      <c r="J166" s="1">
        <v>31890</v>
      </c>
      <c r="K166" s="1">
        <v>67</v>
      </c>
      <c r="L166" s="1">
        <v>195</v>
      </c>
      <c r="M166" s="1">
        <v>38</v>
      </c>
      <c r="N166" s="1">
        <v>17071</v>
      </c>
      <c r="O166" s="1">
        <v>205</v>
      </c>
      <c r="P166" s="2">
        <f>SUM(STREAMS_STATS[[#This Row],[In Spotify Playlists]],STREAMS_STATS[[#This Row],[In Apple Playlists]],STREAMS_STATS[[#This Row],[In Deezer Playlists]],STREAMS_STATS[[#This Row],[In YouTube Playlists]])</f>
        <v>50648</v>
      </c>
      <c r="Q166" s="1">
        <v>132</v>
      </c>
      <c r="R166" s="1">
        <v>-11</v>
      </c>
      <c r="S166" s="1" t="s">
        <v>68</v>
      </c>
      <c r="T166" s="1">
        <v>34</v>
      </c>
      <c r="U166" s="1">
        <v>51</v>
      </c>
      <c r="V166" s="1">
        <v>12</v>
      </c>
      <c r="W166" s="1">
        <v>7</v>
      </c>
      <c r="X166" s="1">
        <v>250</v>
      </c>
      <c r="Y166" s="5">
        <f>STREAMS_STATS[[#This Row],[Duration]]/60</f>
        <v>4.166666666666667</v>
      </c>
      <c r="Z166" s="1">
        <v>23</v>
      </c>
      <c r="AA166" s="1">
        <v>3</v>
      </c>
      <c r="AB166" s="1">
        <v>36</v>
      </c>
    </row>
    <row r="167" spans="1:28">
      <c r="A167" t="s">
        <v>344</v>
      </c>
      <c r="B167" s="1" t="s">
        <v>320</v>
      </c>
      <c r="C167" s="1" t="s">
        <v>67</v>
      </c>
      <c r="D167" s="1">
        <v>2018</v>
      </c>
      <c r="E167" s="3">
        <v>429829812</v>
      </c>
      <c r="F167" s="3" t="str" cm="1">
        <f t="array" ref="F16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67" s="1">
        <v>3406</v>
      </c>
      <c r="H167" s="1">
        <v>242</v>
      </c>
      <c r="I167" s="1">
        <v>107</v>
      </c>
      <c r="J167" s="1">
        <v>36643</v>
      </c>
      <c r="K167" s="1">
        <v>107</v>
      </c>
      <c r="L167" s="1">
        <v>801</v>
      </c>
      <c r="M167" s="1">
        <v>1</v>
      </c>
      <c r="N167" s="1">
        <v>38068</v>
      </c>
      <c r="O167" s="1">
        <v>298</v>
      </c>
      <c r="P167" s="2">
        <f>SUM(STREAMS_STATS[[#This Row],[In Spotify Playlists]],STREAMS_STATS[[#This Row],[In Apple Playlists]],STREAMS_STATS[[#This Row],[In Deezer Playlists]],STREAMS_STATS[[#This Row],[In YouTube Playlists]])</f>
        <v>78918</v>
      </c>
      <c r="Q167" s="1">
        <v>113</v>
      </c>
      <c r="R167" s="1">
        <v>-5</v>
      </c>
      <c r="S167" s="1" t="s">
        <v>75</v>
      </c>
      <c r="T167" s="1">
        <v>80</v>
      </c>
      <c r="U167" s="1">
        <v>54</v>
      </c>
      <c r="V167" s="1">
        <v>42</v>
      </c>
      <c r="W167" s="1">
        <v>18</v>
      </c>
      <c r="X167" s="1">
        <v>243</v>
      </c>
      <c r="Y167" s="5">
        <f>STREAMS_STATS[[#This Row],[Duration]]/60</f>
        <v>4.05</v>
      </c>
      <c r="Z167" s="1">
        <v>2</v>
      </c>
      <c r="AA167" s="1">
        <v>3</v>
      </c>
      <c r="AB167" s="1">
        <v>67</v>
      </c>
    </row>
    <row r="168" spans="1:28">
      <c r="A168" t="s">
        <v>345</v>
      </c>
      <c r="B168" s="1" t="s">
        <v>39</v>
      </c>
      <c r="C168" s="1" t="s">
        <v>115</v>
      </c>
      <c r="D168" s="1">
        <v>2015</v>
      </c>
      <c r="E168" s="3">
        <v>1457139296</v>
      </c>
      <c r="F168" s="3" t="str" cm="1">
        <f t="array" ref="F168">_xlfn.IFS(STREAMS_STATS[[#This Row],[Streams]] &gt;= 1000000000, "1B+", STREAMS_STATS[[#This Row],[Streams]] &gt;= 500000000, "500M–1B", STREAMS_STATS[[#This Row],[Streams]] &gt;= 250000000, "250M–500M", TRUE, "Under 250M")</f>
        <v>1B+</v>
      </c>
      <c r="G168" s="1">
        <v>17115</v>
      </c>
      <c r="H168" s="1">
        <v>23</v>
      </c>
      <c r="I168" s="1">
        <v>1</v>
      </c>
      <c r="J168" s="1">
        <v>14359</v>
      </c>
      <c r="K168" s="1">
        <v>1</v>
      </c>
      <c r="L168" s="1">
        <v>6</v>
      </c>
      <c r="M168" s="1">
        <v>12</v>
      </c>
      <c r="N168" s="1">
        <v>24945</v>
      </c>
      <c r="O168" s="1">
        <v>374</v>
      </c>
      <c r="P168" s="2">
        <f>SUM(STREAMS_STATS[[#This Row],[In Spotify Playlists]],STREAMS_STATS[[#This Row],[In Apple Playlists]],STREAMS_STATS[[#This Row],[In Deezer Playlists]],STREAMS_STATS[[#This Row],[In YouTube Playlists]])</f>
        <v>56425</v>
      </c>
      <c r="Q168" s="1">
        <v>206</v>
      </c>
      <c r="R168" s="1">
        <v>-6</v>
      </c>
      <c r="S168" s="1" t="s">
        <v>75</v>
      </c>
      <c r="T168" s="1">
        <v>27</v>
      </c>
      <c r="U168" s="1">
        <v>58</v>
      </c>
      <c r="V168" s="1">
        <v>13</v>
      </c>
      <c r="W168" s="1">
        <v>35</v>
      </c>
      <c r="X168" s="1">
        <v>188</v>
      </c>
      <c r="Y168" s="5">
        <f>STREAMS_STATS[[#This Row],[Duration]]/60</f>
        <v>3.1333333333333333</v>
      </c>
      <c r="Z168" s="1">
        <v>88</v>
      </c>
      <c r="AA168" s="1">
        <v>5</v>
      </c>
      <c r="AB168" s="1">
        <v>80</v>
      </c>
    </row>
    <row r="169" spans="1:28">
      <c r="A169" t="s">
        <v>346</v>
      </c>
      <c r="B169" s="1" t="s">
        <v>347</v>
      </c>
      <c r="C169" s="1" t="s">
        <v>224</v>
      </c>
      <c r="D169" s="1">
        <v>2013</v>
      </c>
      <c r="E169" s="3">
        <v>202677468</v>
      </c>
      <c r="F169" s="3" t="str" cm="1">
        <f t="array" ref="F169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69" s="1">
        <v>1430</v>
      </c>
      <c r="H169" s="1">
        <v>213</v>
      </c>
      <c r="I169" s="1">
        <v>35</v>
      </c>
      <c r="J169" s="1">
        <v>34974</v>
      </c>
      <c r="K169" s="1">
        <v>61</v>
      </c>
      <c r="L169" s="1">
        <v>2</v>
      </c>
      <c r="M169" s="1">
        <v>16</v>
      </c>
      <c r="N169" s="1">
        <v>18583</v>
      </c>
      <c r="O169" s="1">
        <v>220</v>
      </c>
      <c r="P169" s="2">
        <f>SUM(STREAMS_STATS[[#This Row],[In Spotify Playlists]],STREAMS_STATS[[#This Row],[In Apple Playlists]],STREAMS_STATS[[#This Row],[In Deezer Playlists]],STREAMS_STATS[[#This Row],[In YouTube Playlists]])</f>
        <v>54989</v>
      </c>
      <c r="Q169" s="1">
        <v>104</v>
      </c>
      <c r="R169" s="1">
        <v>-5</v>
      </c>
      <c r="S169" s="1" t="s">
        <v>68</v>
      </c>
      <c r="T169" s="1">
        <v>78</v>
      </c>
      <c r="U169" s="1">
        <v>65</v>
      </c>
      <c r="V169" s="1">
        <v>12</v>
      </c>
      <c r="W169" s="1">
        <v>45</v>
      </c>
      <c r="X169" s="1">
        <v>274</v>
      </c>
      <c r="Y169" s="5">
        <f>STREAMS_STATS[[#This Row],[Duration]]/60</f>
        <v>4.5666666666666664</v>
      </c>
      <c r="Z169" s="1">
        <v>13</v>
      </c>
      <c r="AA169" s="1">
        <v>6</v>
      </c>
      <c r="AB169" s="1">
        <v>28</v>
      </c>
    </row>
    <row r="170" spans="1:28">
      <c r="A170" t="s">
        <v>348</v>
      </c>
      <c r="B170" s="1" t="s">
        <v>99</v>
      </c>
      <c r="C170" s="1" t="s">
        <v>100</v>
      </c>
      <c r="D170" s="1">
        <v>2017</v>
      </c>
      <c r="E170" s="3">
        <v>226897599</v>
      </c>
      <c r="F170" s="3" t="str" cm="1">
        <f t="array" ref="F17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70" s="1">
        <v>1597</v>
      </c>
      <c r="H170" s="1">
        <v>313</v>
      </c>
      <c r="I170" s="1">
        <v>102</v>
      </c>
      <c r="J170" s="1">
        <v>36449</v>
      </c>
      <c r="K170" s="1">
        <v>102</v>
      </c>
      <c r="L170" s="1">
        <v>93</v>
      </c>
      <c r="M170" s="1">
        <v>47</v>
      </c>
      <c r="N170" s="1">
        <v>23076</v>
      </c>
      <c r="O170" s="1">
        <v>399</v>
      </c>
      <c r="P170" s="2">
        <f>SUM(STREAMS_STATS[[#This Row],[In Spotify Playlists]],STREAMS_STATS[[#This Row],[In Apple Playlists]],STREAMS_STATS[[#This Row],[In Deezer Playlists]],STREAMS_STATS[[#This Row],[In YouTube Playlists]])</f>
        <v>61215</v>
      </c>
      <c r="Q170" s="1">
        <v>87</v>
      </c>
      <c r="R170" s="1">
        <v>-4</v>
      </c>
      <c r="S170" s="1" t="s">
        <v>68</v>
      </c>
      <c r="T170" s="1">
        <v>46</v>
      </c>
      <c r="U170" s="1">
        <v>27</v>
      </c>
      <c r="V170" s="1">
        <v>14</v>
      </c>
      <c r="W170" s="1">
        <v>21</v>
      </c>
      <c r="X170" s="1">
        <v>286</v>
      </c>
      <c r="Y170" s="5">
        <f>STREAMS_STATS[[#This Row],[Duration]]/60</f>
        <v>4.7666666666666666</v>
      </c>
      <c r="Z170" s="1">
        <v>85</v>
      </c>
      <c r="AA170" s="1">
        <v>3</v>
      </c>
      <c r="AB170" s="1">
        <v>44</v>
      </c>
    </row>
    <row r="171" spans="1:28">
      <c r="A171" t="s">
        <v>349</v>
      </c>
      <c r="B171" s="1" t="s">
        <v>37</v>
      </c>
      <c r="C171" s="1" t="s">
        <v>134</v>
      </c>
      <c r="D171" s="1">
        <v>2018</v>
      </c>
      <c r="E171" s="3">
        <v>1047480053</v>
      </c>
      <c r="F171" s="3" t="str" cm="1">
        <f t="array" ref="F171">_xlfn.IFS(STREAMS_STATS[[#This Row],[Streams]] &gt;= 1000000000, "1B+", STREAMS_STATS[[#This Row],[Streams]] &gt;= 500000000, "500M–1B", STREAMS_STATS[[#This Row],[Streams]] &gt;= 250000000, "250M–500M", TRUE, "Under 250M")</f>
        <v>1B+</v>
      </c>
      <c r="G171" s="1">
        <v>9243</v>
      </c>
      <c r="H171" s="1">
        <v>100</v>
      </c>
      <c r="I171" s="1">
        <v>45</v>
      </c>
      <c r="J171" s="1">
        <v>7841</v>
      </c>
      <c r="K171" s="1">
        <v>45</v>
      </c>
      <c r="L171" s="1">
        <v>398</v>
      </c>
      <c r="M171" s="1">
        <v>8</v>
      </c>
      <c r="N171" s="1">
        <v>15805</v>
      </c>
      <c r="O171" s="1">
        <v>55</v>
      </c>
      <c r="P171" s="2">
        <f>SUM(STREAMS_STATS[[#This Row],[In Spotify Playlists]],STREAMS_STATS[[#This Row],[In Apple Playlists]],STREAMS_STATS[[#This Row],[In Deezer Playlists]],STREAMS_STATS[[#This Row],[In YouTube Playlists]])</f>
        <v>33287</v>
      </c>
      <c r="Q171" s="1">
        <v>105</v>
      </c>
      <c r="R171" s="1">
        <v>-5</v>
      </c>
      <c r="S171" s="1" t="s">
        <v>68</v>
      </c>
      <c r="T171" s="1">
        <v>73</v>
      </c>
      <c r="U171" s="1">
        <v>74</v>
      </c>
      <c r="V171" s="1">
        <v>30</v>
      </c>
      <c r="W171" s="1">
        <v>62</v>
      </c>
      <c r="X171" s="1">
        <v>189</v>
      </c>
      <c r="Y171" s="5">
        <f>STREAMS_STATS[[#This Row],[Duration]]/60</f>
        <v>3.15</v>
      </c>
      <c r="Z171" s="1">
        <v>0</v>
      </c>
      <c r="AA171" s="1">
        <v>4</v>
      </c>
      <c r="AB171" s="1">
        <v>77</v>
      </c>
    </row>
    <row r="172" spans="1:28">
      <c r="A172" t="s">
        <v>350</v>
      </c>
      <c r="B172" s="1" t="s">
        <v>97</v>
      </c>
      <c r="C172" s="1" t="s">
        <v>67</v>
      </c>
      <c r="D172" s="1">
        <v>2014</v>
      </c>
      <c r="E172" s="3">
        <v>380319238</v>
      </c>
      <c r="F172" s="3" t="str" cm="1">
        <f t="array" ref="F17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72" s="1">
        <v>2959</v>
      </c>
      <c r="H172" s="1">
        <v>253</v>
      </c>
      <c r="I172" s="1">
        <v>11</v>
      </c>
      <c r="J172" s="1">
        <v>28703</v>
      </c>
      <c r="K172" s="1">
        <v>11</v>
      </c>
      <c r="L172" s="1">
        <v>3</v>
      </c>
      <c r="M172" s="1">
        <v>17</v>
      </c>
      <c r="N172" s="1">
        <v>34186</v>
      </c>
      <c r="O172" s="1">
        <v>253</v>
      </c>
      <c r="P172" s="2">
        <f>SUM(STREAMS_STATS[[#This Row],[In Spotify Playlists]],STREAMS_STATS[[#This Row],[In Apple Playlists]],STREAMS_STATS[[#This Row],[In Deezer Playlists]],STREAMS_STATS[[#This Row],[In YouTube Playlists]])</f>
        <v>65851</v>
      </c>
      <c r="Q172" s="1">
        <v>110</v>
      </c>
      <c r="R172" s="1">
        <v>-3</v>
      </c>
      <c r="S172" s="1" t="s">
        <v>68</v>
      </c>
      <c r="T172" s="1">
        <v>92</v>
      </c>
      <c r="U172" s="1">
        <v>62</v>
      </c>
      <c r="V172" s="1">
        <v>12</v>
      </c>
      <c r="W172" s="1">
        <v>57</v>
      </c>
      <c r="X172" s="1">
        <v>233</v>
      </c>
      <c r="Y172" s="5">
        <f>STREAMS_STATS[[#This Row],[Duration]]/60</f>
        <v>3.8833333333333333</v>
      </c>
      <c r="Z172" s="1">
        <v>1</v>
      </c>
      <c r="AA172" s="1">
        <v>4</v>
      </c>
      <c r="AB172" s="1">
        <v>65</v>
      </c>
    </row>
    <row r="173" spans="1:28">
      <c r="A173" t="s">
        <v>351</v>
      </c>
      <c r="B173" s="1" t="s">
        <v>190</v>
      </c>
      <c r="C173" s="1" t="s">
        <v>67</v>
      </c>
      <c r="D173" s="1">
        <v>2015</v>
      </c>
      <c r="E173" s="3">
        <v>656013912</v>
      </c>
      <c r="F173" s="3" t="str" cm="1">
        <f t="array" ref="F17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73" s="1">
        <v>5375</v>
      </c>
      <c r="H173" s="1">
        <v>359</v>
      </c>
      <c r="I173" s="1">
        <v>8</v>
      </c>
      <c r="J173" s="1">
        <v>22897</v>
      </c>
      <c r="K173" s="1">
        <v>8</v>
      </c>
      <c r="L173" s="1">
        <v>5</v>
      </c>
      <c r="M173" s="1">
        <v>21</v>
      </c>
      <c r="N173" s="1">
        <v>14765</v>
      </c>
      <c r="O173" s="1">
        <v>156</v>
      </c>
      <c r="P173" s="2">
        <f>SUM(STREAMS_STATS[[#This Row],[In Spotify Playlists]],STREAMS_STATS[[#This Row],[In Apple Playlists]],STREAMS_STATS[[#This Row],[In Deezer Playlists]],STREAMS_STATS[[#This Row],[In YouTube Playlists]])</f>
        <v>43042</v>
      </c>
      <c r="Q173" s="1">
        <v>176</v>
      </c>
      <c r="R173" s="1">
        <v>-7</v>
      </c>
      <c r="S173" s="1" t="s">
        <v>68</v>
      </c>
      <c r="T173" s="1">
        <v>80</v>
      </c>
      <c r="U173" s="1">
        <v>63</v>
      </c>
      <c r="V173" s="1">
        <v>14</v>
      </c>
      <c r="W173" s="1">
        <v>91</v>
      </c>
      <c r="X173" s="1">
        <v>218</v>
      </c>
      <c r="Y173" s="5">
        <f>STREAMS_STATS[[#This Row],[Duration]]/60</f>
        <v>3.6333333333333333</v>
      </c>
      <c r="Z173" s="1">
        <v>21</v>
      </c>
      <c r="AA173" s="1">
        <v>16</v>
      </c>
      <c r="AB173" s="1">
        <v>72</v>
      </c>
    </row>
    <row r="174" spans="1:28">
      <c r="A174" t="s">
        <v>352</v>
      </c>
      <c r="B174" s="1" t="s">
        <v>236</v>
      </c>
      <c r="C174" s="1" t="s">
        <v>237</v>
      </c>
      <c r="D174" s="1">
        <v>2017</v>
      </c>
      <c r="E174" s="3">
        <v>403097450</v>
      </c>
      <c r="F174" s="3" t="str" cm="1">
        <f t="array" ref="F17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74" s="1">
        <v>3107</v>
      </c>
      <c r="H174" s="1">
        <v>279</v>
      </c>
      <c r="I174" s="1">
        <v>4</v>
      </c>
      <c r="J174" s="1">
        <v>25904</v>
      </c>
      <c r="K174" s="1">
        <v>3</v>
      </c>
      <c r="L174" s="1">
        <v>806</v>
      </c>
      <c r="M174" s="1">
        <v>39</v>
      </c>
      <c r="N174" s="1">
        <v>1874</v>
      </c>
      <c r="O174" s="1">
        <v>117</v>
      </c>
      <c r="P174" s="2">
        <f>SUM(STREAMS_STATS[[#This Row],[In Spotify Playlists]],STREAMS_STATS[[#This Row],[In Apple Playlists]],STREAMS_STATS[[#This Row],[In Deezer Playlists]],STREAMS_STATS[[#This Row],[In YouTube Playlists]])</f>
        <v>31691</v>
      </c>
      <c r="Q174" s="1">
        <v>108</v>
      </c>
      <c r="R174" s="1">
        <v>-4</v>
      </c>
      <c r="S174" s="1" t="s">
        <v>68</v>
      </c>
      <c r="T174" s="1">
        <v>93</v>
      </c>
      <c r="U174" s="1">
        <v>72</v>
      </c>
      <c r="V174" s="1">
        <v>5</v>
      </c>
      <c r="W174" s="1">
        <v>54</v>
      </c>
      <c r="X174" s="1">
        <v>205</v>
      </c>
      <c r="Y174" s="5">
        <f>STREAMS_STATS[[#This Row],[Duration]]/60</f>
        <v>3.4166666666666665</v>
      </c>
      <c r="Z174" s="1">
        <v>3</v>
      </c>
      <c r="AA174" s="1">
        <v>5</v>
      </c>
      <c r="AB174" s="1">
        <v>66</v>
      </c>
    </row>
    <row r="175" spans="1:28">
      <c r="A175" t="s">
        <v>353</v>
      </c>
      <c r="B175" s="1" t="s">
        <v>354</v>
      </c>
      <c r="C175" s="1" t="s">
        <v>355</v>
      </c>
      <c r="D175" s="1">
        <v>2013</v>
      </c>
      <c r="E175" s="3">
        <v>1127468248</v>
      </c>
      <c r="F175" s="3" t="str" cm="1">
        <f t="array" ref="F175">_xlfn.IFS(STREAMS_STATS[[#This Row],[Streams]] &gt;= 1000000000, "1B+", STREAMS_STATS[[#This Row],[Streams]] &gt;= 500000000, "500M–1B", STREAMS_STATS[[#This Row],[Streams]] &gt;= 250000000, "250M–500M", TRUE, "Under 250M")</f>
        <v>1B+</v>
      </c>
      <c r="G175" s="1">
        <v>10195</v>
      </c>
      <c r="H175" s="1">
        <v>76</v>
      </c>
      <c r="I175" s="1">
        <v>92</v>
      </c>
      <c r="J175" s="1">
        <v>34753</v>
      </c>
      <c r="K175" s="1">
        <v>92</v>
      </c>
      <c r="L175" s="1">
        <v>93</v>
      </c>
      <c r="M175" s="1">
        <v>1</v>
      </c>
      <c r="N175" s="1">
        <v>28542</v>
      </c>
      <c r="O175" s="1">
        <v>252</v>
      </c>
      <c r="P175" s="2">
        <f>SUM(STREAMS_STATS[[#This Row],[In Spotify Playlists]],STREAMS_STATS[[#This Row],[In Apple Playlists]],STREAMS_STATS[[#This Row],[In Deezer Playlists]],STREAMS_STATS[[#This Row],[In YouTube Playlists]])</f>
        <v>73583</v>
      </c>
      <c r="Q175" s="1">
        <v>116</v>
      </c>
      <c r="R175" s="1">
        <v>-9</v>
      </c>
      <c r="S175" s="1" t="s">
        <v>68</v>
      </c>
      <c r="T175" s="1">
        <v>81</v>
      </c>
      <c r="U175" s="1">
        <v>79</v>
      </c>
      <c r="V175" s="1">
        <v>10</v>
      </c>
      <c r="W175" s="1">
        <v>86</v>
      </c>
      <c r="X175" s="1">
        <v>248</v>
      </c>
      <c r="Y175" s="5">
        <f>STREAMS_STATS[[#This Row],[Duration]]/60</f>
        <v>4.1333333333333337</v>
      </c>
      <c r="Z175" s="1">
        <v>4</v>
      </c>
      <c r="AA175" s="1">
        <v>4</v>
      </c>
      <c r="AB175" s="1">
        <v>77</v>
      </c>
    </row>
    <row r="176" spans="1:28">
      <c r="A176" t="s">
        <v>356</v>
      </c>
      <c r="B176" s="1" t="s">
        <v>357</v>
      </c>
      <c r="C176" s="1" t="s">
        <v>67</v>
      </c>
      <c r="D176" s="1">
        <v>2015</v>
      </c>
      <c r="E176" s="3">
        <v>263894529</v>
      </c>
      <c r="F176" s="3" t="str" cm="1">
        <f t="array" ref="F17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76" s="1">
        <v>1959</v>
      </c>
      <c r="H176" s="1">
        <v>428</v>
      </c>
      <c r="I176" s="1">
        <v>53</v>
      </c>
      <c r="J176" s="1">
        <v>17675</v>
      </c>
      <c r="K176" s="1">
        <v>54</v>
      </c>
      <c r="L176" s="1">
        <v>7</v>
      </c>
      <c r="M176" s="1">
        <v>43</v>
      </c>
      <c r="N176" s="1">
        <v>17382</v>
      </c>
      <c r="O176" s="1">
        <v>29</v>
      </c>
      <c r="P176" s="2">
        <f>SUM(STREAMS_STATS[[#This Row],[In Spotify Playlists]],STREAMS_STATS[[#This Row],[In Apple Playlists]],STREAMS_STATS[[#This Row],[In Deezer Playlists]],STREAMS_STATS[[#This Row],[In YouTube Playlists]])</f>
        <v>37023</v>
      </c>
      <c r="Q176" s="1">
        <v>79</v>
      </c>
      <c r="R176" s="1">
        <v>-7</v>
      </c>
      <c r="S176" s="1" t="s">
        <v>75</v>
      </c>
      <c r="T176" s="1">
        <v>55</v>
      </c>
      <c r="U176" s="1">
        <v>54</v>
      </c>
      <c r="V176" s="1">
        <v>12</v>
      </c>
      <c r="W176" s="1">
        <v>9</v>
      </c>
      <c r="X176" s="1">
        <v>250</v>
      </c>
      <c r="Y176" s="5">
        <f>STREAMS_STATS[[#This Row],[Duration]]/60</f>
        <v>4.166666666666667</v>
      </c>
      <c r="Z176" s="1">
        <v>4</v>
      </c>
      <c r="AA176" s="1">
        <v>4</v>
      </c>
      <c r="AB176" s="1">
        <v>54</v>
      </c>
    </row>
    <row r="177" spans="1:28">
      <c r="A177" t="s">
        <v>358</v>
      </c>
      <c r="B177" s="1" t="s">
        <v>34</v>
      </c>
      <c r="C177" s="1" t="s">
        <v>67</v>
      </c>
      <c r="D177" s="1">
        <v>2019</v>
      </c>
      <c r="E177" s="3">
        <v>1887039593</v>
      </c>
      <c r="F177" s="3" t="str" cm="1">
        <f t="array" ref="F177">_xlfn.IFS(STREAMS_STATS[[#This Row],[Streams]] &gt;= 1000000000, "1B+", STREAMS_STATS[[#This Row],[Streams]] &gt;= 500000000, "500M–1B", STREAMS_STATS[[#This Row],[Streams]] &gt;= 250000000, "250M–500M", TRUE, "Under 250M")</f>
        <v>1B+</v>
      </c>
      <c r="G177" s="1">
        <v>25065</v>
      </c>
      <c r="H177" s="1">
        <v>14</v>
      </c>
      <c r="I177" s="1">
        <v>105</v>
      </c>
      <c r="J177" s="1">
        <v>33544</v>
      </c>
      <c r="K177" s="1">
        <v>105</v>
      </c>
      <c r="L177" s="2">
        <v>2453</v>
      </c>
      <c r="M177" s="1">
        <v>45</v>
      </c>
      <c r="N177" s="1">
        <v>13590</v>
      </c>
      <c r="O177" s="1">
        <v>186</v>
      </c>
      <c r="P177" s="2">
        <f>SUM(STREAMS_STATS[[#This Row],[In Spotify Playlists]],STREAMS_STATS[[#This Row],[In Apple Playlists]],STREAMS_STATS[[#This Row],[In Deezer Playlists]],STREAMS_STATS[[#This Row],[In YouTube Playlists]])</f>
        <v>74652</v>
      </c>
      <c r="Q177" s="1">
        <v>122</v>
      </c>
      <c r="R177" s="1">
        <v>-4</v>
      </c>
      <c r="S177" s="1" t="s">
        <v>68</v>
      </c>
      <c r="T177" s="1">
        <v>89</v>
      </c>
      <c r="U177" s="1">
        <v>81</v>
      </c>
      <c r="V177" s="1">
        <v>8</v>
      </c>
      <c r="W177" s="1">
        <v>61</v>
      </c>
      <c r="X177" s="1">
        <v>229</v>
      </c>
      <c r="Y177" s="5">
        <f>STREAMS_STATS[[#This Row],[Duration]]/60</f>
        <v>3.8166666666666669</v>
      </c>
      <c r="Z177" s="1">
        <v>2</v>
      </c>
      <c r="AA177" s="1">
        <v>4</v>
      </c>
      <c r="AB177" s="1">
        <v>84</v>
      </c>
    </row>
    <row r="178" spans="1:28">
      <c r="A178" t="s">
        <v>359</v>
      </c>
      <c r="B178" s="1" t="s">
        <v>283</v>
      </c>
      <c r="C178" s="1" t="s">
        <v>284</v>
      </c>
      <c r="D178" s="1">
        <v>2013</v>
      </c>
      <c r="E178" s="3">
        <v>301869854</v>
      </c>
      <c r="F178" s="3" t="str" cm="1">
        <f t="array" ref="F17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78" s="1">
        <v>2313</v>
      </c>
      <c r="H178" s="1">
        <v>113</v>
      </c>
      <c r="I178" s="1">
        <v>4</v>
      </c>
      <c r="J178" s="1">
        <v>16671</v>
      </c>
      <c r="K178" s="1">
        <v>4</v>
      </c>
      <c r="L178" s="1">
        <v>4</v>
      </c>
      <c r="M178" s="1">
        <v>24</v>
      </c>
      <c r="N178" s="1">
        <v>37148</v>
      </c>
      <c r="O178" s="1">
        <v>205</v>
      </c>
      <c r="P178" s="2">
        <f>SUM(STREAMS_STATS[[#This Row],[In Spotify Playlists]],STREAMS_STATS[[#This Row],[In Apple Playlists]],STREAMS_STATS[[#This Row],[In Deezer Playlists]],STREAMS_STATS[[#This Row],[In YouTube Playlists]])</f>
        <v>56136</v>
      </c>
      <c r="Q178" s="1">
        <v>93</v>
      </c>
      <c r="R178" s="1">
        <v>-6</v>
      </c>
      <c r="S178" s="1" t="s">
        <v>68</v>
      </c>
      <c r="T178" s="1">
        <v>81</v>
      </c>
      <c r="U178" s="1">
        <v>55</v>
      </c>
      <c r="V178" s="1">
        <v>15</v>
      </c>
      <c r="W178" s="1">
        <v>34</v>
      </c>
      <c r="X178" s="1">
        <v>271</v>
      </c>
      <c r="Y178" s="5">
        <f>STREAMS_STATS[[#This Row],[Duration]]/60</f>
        <v>4.5166666666666666</v>
      </c>
      <c r="Z178" s="1">
        <v>9</v>
      </c>
      <c r="AA178" s="1">
        <v>31</v>
      </c>
      <c r="AB178" s="1">
        <v>59</v>
      </c>
    </row>
    <row r="179" spans="1:28">
      <c r="A179" t="s">
        <v>360</v>
      </c>
      <c r="B179" s="1" t="s">
        <v>128</v>
      </c>
      <c r="C179" s="1" t="s">
        <v>67</v>
      </c>
      <c r="D179" s="1">
        <v>2018</v>
      </c>
      <c r="E179" s="3">
        <v>354495408</v>
      </c>
      <c r="F179" s="3" t="str" cm="1">
        <f t="array" ref="F17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79" s="1">
        <v>2780</v>
      </c>
      <c r="H179" s="1">
        <v>432</v>
      </c>
      <c r="I179" s="1">
        <v>7</v>
      </c>
      <c r="J179" s="1">
        <v>18312</v>
      </c>
      <c r="K179" s="1">
        <v>7</v>
      </c>
      <c r="L179" s="1">
        <v>55</v>
      </c>
      <c r="M179" s="1">
        <v>28</v>
      </c>
      <c r="N179" s="1">
        <v>28774</v>
      </c>
      <c r="O179" s="1">
        <v>210</v>
      </c>
      <c r="P179" s="2">
        <f>SUM(STREAMS_STATS[[#This Row],[In Spotify Playlists]],STREAMS_STATS[[#This Row],[In Apple Playlists]],STREAMS_STATS[[#This Row],[In Deezer Playlists]],STREAMS_STATS[[#This Row],[In YouTube Playlists]])</f>
        <v>49921</v>
      </c>
      <c r="Q179" s="1">
        <v>94</v>
      </c>
      <c r="R179" s="1">
        <v>-4</v>
      </c>
      <c r="S179" s="1" t="s">
        <v>68</v>
      </c>
      <c r="T179" s="1">
        <v>69</v>
      </c>
      <c r="U179" s="1">
        <v>73</v>
      </c>
      <c r="V179" s="1">
        <v>10</v>
      </c>
      <c r="W179" s="1">
        <v>42</v>
      </c>
      <c r="X179" s="1">
        <v>221</v>
      </c>
      <c r="Y179" s="5">
        <f>STREAMS_STATS[[#This Row],[Duration]]/60</f>
        <v>3.6833333333333331</v>
      </c>
      <c r="Z179" s="1">
        <v>2</v>
      </c>
      <c r="AA179" s="1">
        <v>5</v>
      </c>
      <c r="AB179" s="1">
        <v>64</v>
      </c>
    </row>
    <row r="180" spans="1:28">
      <c r="A180" t="s">
        <v>361</v>
      </c>
      <c r="B180" s="1" t="s">
        <v>32</v>
      </c>
      <c r="C180" s="1" t="s">
        <v>25</v>
      </c>
      <c r="D180" s="1">
        <v>2019</v>
      </c>
      <c r="E180" s="3">
        <v>1591223784</v>
      </c>
      <c r="F180" s="3" t="str" cm="1">
        <f t="array" ref="F180">_xlfn.IFS(STREAMS_STATS[[#This Row],[Streams]] &gt;= 1000000000, "1B+", STREAMS_STATS[[#This Row],[Streams]] &gt;= 500000000, "500M–1B", STREAMS_STATS[[#This Row],[Streams]] &gt;= 250000000, "250M–500M", TRUE, "Under 250M")</f>
        <v>1B+</v>
      </c>
      <c r="G180" s="1">
        <v>18515</v>
      </c>
      <c r="H180" s="1">
        <v>44</v>
      </c>
      <c r="I180" s="1">
        <v>123</v>
      </c>
      <c r="J180" s="1">
        <v>15386</v>
      </c>
      <c r="K180" s="1">
        <v>123</v>
      </c>
      <c r="L180" s="1">
        <v>569</v>
      </c>
      <c r="M180" s="1">
        <v>3</v>
      </c>
      <c r="N180" s="1">
        <v>33238</v>
      </c>
      <c r="O180" s="1">
        <v>330</v>
      </c>
      <c r="P180" s="2">
        <f>SUM(STREAMS_STATS[[#This Row],[In Spotify Playlists]],STREAMS_STATS[[#This Row],[In Apple Playlists]],STREAMS_STATS[[#This Row],[In Deezer Playlists]],STREAMS_STATS[[#This Row],[In YouTube Playlists]])</f>
        <v>67708</v>
      </c>
      <c r="Q180" s="1">
        <v>125</v>
      </c>
      <c r="R180" s="1">
        <v>-7</v>
      </c>
      <c r="S180" s="1" t="s">
        <v>68</v>
      </c>
      <c r="T180" s="1">
        <v>54</v>
      </c>
      <c r="U180" s="1">
        <v>85</v>
      </c>
      <c r="V180" s="1">
        <v>13</v>
      </c>
      <c r="W180" s="1">
        <v>45</v>
      </c>
      <c r="X180" s="1">
        <v>236</v>
      </c>
      <c r="Y180" s="5">
        <f>STREAMS_STATS[[#This Row],[Duration]]/60</f>
        <v>3.9333333333333331</v>
      </c>
      <c r="Z180" s="1">
        <v>57</v>
      </c>
      <c r="AA180" s="1">
        <v>5</v>
      </c>
      <c r="AB180" s="1">
        <v>81</v>
      </c>
    </row>
    <row r="181" spans="1:28">
      <c r="A181" t="s">
        <v>362</v>
      </c>
      <c r="B181" s="1" t="s">
        <v>173</v>
      </c>
      <c r="C181" s="1" t="s">
        <v>67</v>
      </c>
      <c r="D181" s="1">
        <v>2013</v>
      </c>
      <c r="E181" s="3">
        <v>223064273</v>
      </c>
      <c r="F181" s="3" t="str" cm="1">
        <f t="array" ref="F181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181" s="1">
        <v>1550</v>
      </c>
      <c r="H181" s="1">
        <v>172</v>
      </c>
      <c r="I181" s="1">
        <v>2</v>
      </c>
      <c r="J181" s="1">
        <v>27529</v>
      </c>
      <c r="K181" s="1">
        <v>2</v>
      </c>
      <c r="L181" s="1">
        <v>6</v>
      </c>
      <c r="M181" s="1">
        <v>36</v>
      </c>
      <c r="N181" s="1">
        <v>14903</v>
      </c>
      <c r="O181" s="1">
        <v>222</v>
      </c>
      <c r="P181" s="2">
        <f>SUM(STREAMS_STATS[[#This Row],[In Spotify Playlists]],STREAMS_STATS[[#This Row],[In Apple Playlists]],STREAMS_STATS[[#This Row],[In Deezer Playlists]],STREAMS_STATS[[#This Row],[In YouTube Playlists]])</f>
        <v>43988</v>
      </c>
      <c r="Q181" s="1">
        <v>127</v>
      </c>
      <c r="R181" s="1">
        <v>-4</v>
      </c>
      <c r="S181" s="1" t="s">
        <v>68</v>
      </c>
      <c r="T181" s="1">
        <v>83</v>
      </c>
      <c r="U181" s="1">
        <v>67</v>
      </c>
      <c r="V181" s="1">
        <v>16</v>
      </c>
      <c r="W181" s="1">
        <v>58</v>
      </c>
      <c r="X181" s="1">
        <v>230</v>
      </c>
      <c r="Y181" s="5">
        <f>STREAMS_STATS[[#This Row],[Duration]]/60</f>
        <v>3.8333333333333335</v>
      </c>
      <c r="Z181" s="1">
        <v>10</v>
      </c>
      <c r="AA181" s="1">
        <v>7</v>
      </c>
      <c r="AB181" s="1">
        <v>41</v>
      </c>
    </row>
    <row r="182" spans="1:28">
      <c r="A182" t="s">
        <v>363</v>
      </c>
      <c r="B182" s="1" t="s">
        <v>226</v>
      </c>
      <c r="C182" s="1" t="s">
        <v>67</v>
      </c>
      <c r="D182" s="1">
        <v>2011</v>
      </c>
      <c r="E182" s="3">
        <v>1374581173</v>
      </c>
      <c r="F182" s="3" t="str" cm="1">
        <f t="array" ref="F182">_xlfn.IFS(STREAMS_STATS[[#This Row],[Streams]] &gt;= 1000000000, "1B+", STREAMS_STATS[[#This Row],[Streams]] &gt;= 500000000, "500M–1B", STREAMS_STATS[[#This Row],[Streams]] &gt;= 250000000, "250M–500M", TRUE, "Under 250M")</f>
        <v>1B+</v>
      </c>
      <c r="G182" s="1">
        <v>15010</v>
      </c>
      <c r="H182" s="1">
        <v>30</v>
      </c>
      <c r="I182" s="1">
        <v>55</v>
      </c>
      <c r="J182" s="1">
        <v>39461</v>
      </c>
      <c r="K182" s="1">
        <v>82</v>
      </c>
      <c r="L182" s="1">
        <v>5935</v>
      </c>
      <c r="M182" s="1">
        <v>104</v>
      </c>
      <c r="N182" s="1">
        <v>16897</v>
      </c>
      <c r="O182" s="1">
        <v>272</v>
      </c>
      <c r="P182" s="2">
        <f>SUM(STREAMS_STATS[[#This Row],[In Spotify Playlists]],STREAMS_STATS[[#This Row],[In Apple Playlists]],STREAMS_STATS[[#This Row],[In Deezer Playlists]],STREAMS_STATS[[#This Row],[In YouTube Playlists]])</f>
        <v>77303</v>
      </c>
      <c r="Q182" s="1">
        <v>129</v>
      </c>
      <c r="R182" s="1">
        <v>-3</v>
      </c>
      <c r="S182" s="1" t="s">
        <v>75</v>
      </c>
      <c r="T182" s="1">
        <v>94</v>
      </c>
      <c r="U182" s="1">
        <v>67</v>
      </c>
      <c r="V182" s="1">
        <v>30</v>
      </c>
      <c r="W182" s="1">
        <v>53</v>
      </c>
      <c r="X182" s="1">
        <v>252</v>
      </c>
      <c r="Y182" s="5">
        <f>STREAMS_STATS[[#This Row],[Duration]]/60</f>
        <v>4.2</v>
      </c>
      <c r="Z182" s="1">
        <v>19</v>
      </c>
      <c r="AA182" s="1">
        <v>16</v>
      </c>
      <c r="AB182" s="1">
        <v>79</v>
      </c>
    </row>
    <row r="183" spans="1:28">
      <c r="A183" t="s">
        <v>364</v>
      </c>
      <c r="B183" s="1" t="s">
        <v>365</v>
      </c>
      <c r="C183" s="1" t="s">
        <v>159</v>
      </c>
      <c r="D183" s="1">
        <v>2012</v>
      </c>
      <c r="E183" s="3">
        <v>682475162</v>
      </c>
      <c r="F183" s="3" t="str" cm="1">
        <f t="array" ref="F18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83" s="1">
        <v>5866</v>
      </c>
      <c r="H183" s="1">
        <v>364</v>
      </c>
      <c r="I183" s="1">
        <v>338</v>
      </c>
      <c r="J183" s="1">
        <v>31689</v>
      </c>
      <c r="K183" s="1">
        <v>82</v>
      </c>
      <c r="L183" s="1">
        <v>5154</v>
      </c>
      <c r="M183" s="1">
        <v>92</v>
      </c>
      <c r="N183" s="1">
        <v>16460</v>
      </c>
      <c r="O183" s="1">
        <v>230</v>
      </c>
      <c r="P183" s="2">
        <f>SUM(STREAMS_STATS[[#This Row],[In Spotify Playlists]],STREAMS_STATS[[#This Row],[In Apple Playlists]],STREAMS_STATS[[#This Row],[In Deezer Playlists]],STREAMS_STATS[[#This Row],[In YouTube Playlists]])</f>
        <v>59169</v>
      </c>
      <c r="Q183" s="1">
        <v>127</v>
      </c>
      <c r="R183" s="1">
        <v>-4</v>
      </c>
      <c r="S183" s="1" t="s">
        <v>68</v>
      </c>
      <c r="T183" s="1">
        <v>85</v>
      </c>
      <c r="U183" s="1">
        <v>72</v>
      </c>
      <c r="V183" s="1">
        <v>11</v>
      </c>
      <c r="W183" s="1">
        <v>45</v>
      </c>
      <c r="X183" s="1">
        <v>198</v>
      </c>
      <c r="Y183" s="5">
        <f>STREAMS_STATS[[#This Row],[Duration]]/60</f>
        <v>3.3</v>
      </c>
      <c r="Z183" s="1">
        <v>3</v>
      </c>
      <c r="AA183" s="1">
        <v>6</v>
      </c>
      <c r="AB183" s="1">
        <v>72</v>
      </c>
    </row>
    <row r="184" spans="1:28">
      <c r="A184" t="s">
        <v>366</v>
      </c>
      <c r="B184" s="1" t="s">
        <v>367</v>
      </c>
      <c r="C184" s="1" t="s">
        <v>25</v>
      </c>
      <c r="D184" s="1">
        <v>2019</v>
      </c>
      <c r="E184" s="3">
        <v>2565529693</v>
      </c>
      <c r="F184" s="3" t="str" cm="1">
        <f t="array" ref="F184">_xlfn.IFS(STREAMS_STATS[[#This Row],[Streams]] &gt;= 1000000000, "1B+", STREAMS_STATS[[#This Row],[Streams]] &gt;= 500000000, "500M–1B", STREAMS_STATS[[#This Row],[Streams]] &gt;= 250000000, "250M–500M", TRUE, "Under 250M")</f>
        <v>1B+</v>
      </c>
      <c r="G184" s="1">
        <v>41231</v>
      </c>
      <c r="H184" s="1">
        <v>2</v>
      </c>
      <c r="I184" s="1">
        <v>145</v>
      </c>
      <c r="J184" s="1">
        <v>12556</v>
      </c>
      <c r="K184" s="1">
        <v>145</v>
      </c>
      <c r="L184" s="1">
        <v>447</v>
      </c>
      <c r="M184" s="1">
        <v>38</v>
      </c>
      <c r="N184" s="1">
        <v>39811</v>
      </c>
      <c r="O184" s="1">
        <v>52</v>
      </c>
      <c r="P184" s="2">
        <f>SUM(STREAMS_STATS[[#This Row],[In Spotify Playlists]],STREAMS_STATS[[#This Row],[In Apple Playlists]],STREAMS_STATS[[#This Row],[In Deezer Playlists]],STREAMS_STATS[[#This Row],[In YouTube Playlists]])</f>
        <v>94045</v>
      </c>
      <c r="Q184" s="1">
        <v>96</v>
      </c>
      <c r="R184" s="1">
        <v>-3</v>
      </c>
      <c r="S184" s="1" t="s">
        <v>68</v>
      </c>
      <c r="T184" s="1">
        <v>89</v>
      </c>
      <c r="U184" s="1">
        <v>67</v>
      </c>
      <c r="V184" s="1">
        <v>74</v>
      </c>
      <c r="W184" s="1">
        <v>48</v>
      </c>
      <c r="X184" s="1">
        <v>159</v>
      </c>
      <c r="Y184" s="5">
        <f>STREAMS_STATS[[#This Row],[Duration]]/60</f>
        <v>2.65</v>
      </c>
      <c r="Z184" s="1">
        <v>30</v>
      </c>
      <c r="AA184" s="1">
        <v>6</v>
      </c>
      <c r="AB184" s="1">
        <v>90</v>
      </c>
    </row>
    <row r="185" spans="1:28">
      <c r="A185" t="s">
        <v>368</v>
      </c>
      <c r="B185" s="1" t="s">
        <v>112</v>
      </c>
      <c r="C185" s="1" t="s">
        <v>67</v>
      </c>
      <c r="D185" s="1">
        <v>2011</v>
      </c>
      <c r="E185" s="3">
        <v>684675814</v>
      </c>
      <c r="F185" s="3" t="str" cm="1">
        <f t="array" ref="F18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85" s="1">
        <v>5871</v>
      </c>
      <c r="H185" s="1">
        <v>210</v>
      </c>
      <c r="I185" s="1">
        <v>395</v>
      </c>
      <c r="J185" s="1">
        <v>19585</v>
      </c>
      <c r="K185" s="1">
        <v>78</v>
      </c>
      <c r="L185" s="1">
        <v>450</v>
      </c>
      <c r="M185" s="1">
        <v>74</v>
      </c>
      <c r="N185" s="1">
        <v>7281</v>
      </c>
      <c r="O185" s="1">
        <v>355</v>
      </c>
      <c r="P185" s="2">
        <f>SUM(STREAMS_STATS[[#This Row],[In Spotify Playlists]],STREAMS_STATS[[#This Row],[In Apple Playlists]],STREAMS_STATS[[#This Row],[In Deezer Playlists]],STREAMS_STATS[[#This Row],[In YouTube Playlists]])</f>
        <v>33187</v>
      </c>
      <c r="Q185" s="1">
        <v>95</v>
      </c>
      <c r="R185" s="1">
        <v>-8</v>
      </c>
      <c r="S185" s="1" t="s">
        <v>68</v>
      </c>
      <c r="T185" s="1">
        <v>69</v>
      </c>
      <c r="U185" s="1">
        <v>63</v>
      </c>
      <c r="V185" s="1">
        <v>13</v>
      </c>
      <c r="W185" s="1">
        <v>65</v>
      </c>
      <c r="X185" s="1">
        <v>253</v>
      </c>
      <c r="Y185" s="5">
        <f>STREAMS_STATS[[#This Row],[Duration]]/60</f>
        <v>4.2166666666666668</v>
      </c>
      <c r="Z185" s="1">
        <v>8</v>
      </c>
      <c r="AA185" s="1">
        <v>5</v>
      </c>
      <c r="AB185" s="1">
        <v>72</v>
      </c>
    </row>
    <row r="186" spans="1:28">
      <c r="A186" t="s">
        <v>369</v>
      </c>
      <c r="B186" s="1" t="s">
        <v>370</v>
      </c>
      <c r="C186" s="1" t="s">
        <v>25</v>
      </c>
      <c r="D186" s="1">
        <v>2012</v>
      </c>
      <c r="E186" s="3">
        <v>726434358</v>
      </c>
      <c r="F186" s="3" t="str" cm="1">
        <f t="array" ref="F18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86" s="1">
        <v>6457</v>
      </c>
      <c r="H186" s="1">
        <v>444</v>
      </c>
      <c r="I186" s="1">
        <v>106</v>
      </c>
      <c r="J186" s="1">
        <v>16712</v>
      </c>
      <c r="K186" s="1">
        <v>51</v>
      </c>
      <c r="L186" s="1">
        <v>7153</v>
      </c>
      <c r="M186" s="1">
        <v>134</v>
      </c>
      <c r="N186" s="1">
        <v>38329</v>
      </c>
      <c r="O186" s="1">
        <v>72</v>
      </c>
      <c r="P186" s="2">
        <f>SUM(STREAMS_STATS[[#This Row],[In Spotify Playlists]],STREAMS_STATS[[#This Row],[In Apple Playlists]],STREAMS_STATS[[#This Row],[In Deezer Playlists]],STREAMS_STATS[[#This Row],[In YouTube Playlists]])</f>
        <v>68651</v>
      </c>
      <c r="Q186" s="1">
        <v>126</v>
      </c>
      <c r="R186" s="1">
        <v>-4</v>
      </c>
      <c r="S186" s="1" t="s">
        <v>75</v>
      </c>
      <c r="T186" s="1">
        <v>87</v>
      </c>
      <c r="U186" s="1">
        <v>56</v>
      </c>
      <c r="V186" s="1">
        <v>37</v>
      </c>
      <c r="W186" s="1">
        <v>68</v>
      </c>
      <c r="X186" s="1">
        <v>206</v>
      </c>
      <c r="Y186" s="5">
        <f>STREAMS_STATS[[#This Row],[Duration]]/60</f>
        <v>3.4333333333333331</v>
      </c>
      <c r="Z186" s="1">
        <v>2</v>
      </c>
      <c r="AA186" s="1">
        <v>14</v>
      </c>
      <c r="AB186" s="1">
        <v>73</v>
      </c>
    </row>
    <row r="187" spans="1:28">
      <c r="A187" t="s">
        <v>371</v>
      </c>
      <c r="B187" s="1" t="s">
        <v>38</v>
      </c>
      <c r="C187" s="1" t="s">
        <v>25</v>
      </c>
      <c r="D187" s="1">
        <v>2014</v>
      </c>
      <c r="E187" s="3">
        <v>467727006</v>
      </c>
      <c r="F187" s="3" t="str" cm="1">
        <f t="array" ref="F18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87" s="1">
        <v>3682</v>
      </c>
      <c r="H187" s="1">
        <v>295</v>
      </c>
      <c r="I187" s="1">
        <v>9</v>
      </c>
      <c r="J187" s="1">
        <v>2008</v>
      </c>
      <c r="K187" s="1">
        <v>9</v>
      </c>
      <c r="L187" s="1">
        <v>24</v>
      </c>
      <c r="M187" s="1">
        <v>1</v>
      </c>
      <c r="N187" s="1">
        <v>20669</v>
      </c>
      <c r="O187" s="1">
        <v>361</v>
      </c>
      <c r="P187" s="2">
        <f>SUM(STREAMS_STATS[[#This Row],[In Spotify Playlists]],STREAMS_STATS[[#This Row],[In Apple Playlists]],STREAMS_STATS[[#This Row],[In Deezer Playlists]],STREAMS_STATS[[#This Row],[In YouTube Playlists]])</f>
        <v>26383</v>
      </c>
      <c r="Q187" s="1">
        <v>140</v>
      </c>
      <c r="R187" s="1">
        <v>-7</v>
      </c>
      <c r="S187" s="1" t="s">
        <v>68</v>
      </c>
      <c r="T187" s="1">
        <v>54</v>
      </c>
      <c r="U187" s="1">
        <v>72</v>
      </c>
      <c r="V187" s="1">
        <v>10</v>
      </c>
      <c r="W187" s="1">
        <v>64</v>
      </c>
      <c r="X187" s="1">
        <v>244</v>
      </c>
      <c r="Y187" s="5">
        <f>STREAMS_STATS[[#This Row],[Duration]]/60</f>
        <v>4.0666666666666664</v>
      </c>
      <c r="Z187" s="1">
        <v>45</v>
      </c>
      <c r="AA187" s="1">
        <v>4</v>
      </c>
      <c r="AB187" s="1">
        <v>68</v>
      </c>
    </row>
    <row r="188" spans="1:28">
      <c r="A188" t="s">
        <v>372</v>
      </c>
      <c r="B188" s="1" t="s">
        <v>226</v>
      </c>
      <c r="C188" s="1" t="s">
        <v>67</v>
      </c>
      <c r="D188" s="1">
        <v>2017</v>
      </c>
      <c r="E188" s="3">
        <v>261414174</v>
      </c>
      <c r="F188" s="3" t="str" cm="1">
        <f t="array" ref="F18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88" s="1">
        <v>1945</v>
      </c>
      <c r="H188" s="1">
        <v>106</v>
      </c>
      <c r="I188" s="1">
        <v>3</v>
      </c>
      <c r="J188" s="1">
        <v>15630</v>
      </c>
      <c r="K188" s="1">
        <v>3</v>
      </c>
      <c r="L188" s="1">
        <v>70</v>
      </c>
      <c r="M188" s="1">
        <v>24</v>
      </c>
      <c r="N188" s="1">
        <v>31604</v>
      </c>
      <c r="O188" s="1">
        <v>7</v>
      </c>
      <c r="P188" s="2">
        <f>SUM(STREAMS_STATS[[#This Row],[In Spotify Playlists]],STREAMS_STATS[[#This Row],[In Apple Playlists]],STREAMS_STATS[[#This Row],[In Deezer Playlists]],STREAMS_STATS[[#This Row],[In YouTube Playlists]])</f>
        <v>49249</v>
      </c>
      <c r="Q188" s="1">
        <v>115</v>
      </c>
      <c r="R188" s="1">
        <v>-6</v>
      </c>
      <c r="S188" s="1" t="s">
        <v>68</v>
      </c>
      <c r="T188" s="1">
        <v>83</v>
      </c>
      <c r="U188" s="1">
        <v>70</v>
      </c>
      <c r="V188" s="1">
        <v>36</v>
      </c>
      <c r="W188" s="1">
        <v>63</v>
      </c>
      <c r="X188" s="1">
        <v>245</v>
      </c>
      <c r="Y188" s="5">
        <f>STREAMS_STATS[[#This Row],[Duration]]/60</f>
        <v>4.083333333333333</v>
      </c>
      <c r="Z188" s="1">
        <v>28</v>
      </c>
      <c r="AA188" s="1">
        <v>27</v>
      </c>
      <c r="AB188" s="1">
        <v>54</v>
      </c>
    </row>
    <row r="189" spans="1:28">
      <c r="A189" t="s">
        <v>373</v>
      </c>
      <c r="B189" s="1" t="s">
        <v>38</v>
      </c>
      <c r="C189" s="1" t="s">
        <v>25</v>
      </c>
      <c r="D189" s="1">
        <v>2011</v>
      </c>
      <c r="E189" s="3">
        <v>887906111</v>
      </c>
      <c r="F189" s="3" t="str" cm="1">
        <f t="array" ref="F18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89" s="1">
        <v>7963</v>
      </c>
      <c r="H189" s="1">
        <v>68</v>
      </c>
      <c r="I189" s="1">
        <v>449</v>
      </c>
      <c r="J189" s="1">
        <v>33212</v>
      </c>
      <c r="K189" s="1">
        <v>86</v>
      </c>
      <c r="L189" s="1">
        <v>6369</v>
      </c>
      <c r="M189" s="1">
        <v>184</v>
      </c>
      <c r="N189" s="1">
        <v>6629</v>
      </c>
      <c r="O189" s="1">
        <v>176</v>
      </c>
      <c r="P189" s="2">
        <f>SUM(STREAMS_STATS[[#This Row],[In Spotify Playlists]],STREAMS_STATS[[#This Row],[In Apple Playlists]],STREAMS_STATS[[#This Row],[In Deezer Playlists]],STREAMS_STATS[[#This Row],[In YouTube Playlists]])</f>
        <v>54173</v>
      </c>
      <c r="Q189" s="1">
        <v>110</v>
      </c>
      <c r="R189" s="1">
        <v>-7</v>
      </c>
      <c r="S189" s="1" t="s">
        <v>75</v>
      </c>
      <c r="T189" s="1">
        <v>56</v>
      </c>
      <c r="U189" s="1">
        <v>71</v>
      </c>
      <c r="V189" s="1">
        <v>12</v>
      </c>
      <c r="W189" s="1">
        <v>23</v>
      </c>
      <c r="X189" s="1">
        <v>223</v>
      </c>
      <c r="Y189" s="5">
        <f>STREAMS_STATS[[#This Row],[Duration]]/60</f>
        <v>3.7166666666666668</v>
      </c>
      <c r="Z189" s="1">
        <v>15</v>
      </c>
      <c r="AA189" s="1">
        <v>6</v>
      </c>
      <c r="AB189" s="1">
        <v>75</v>
      </c>
    </row>
    <row r="190" spans="1:28">
      <c r="A190" t="s">
        <v>374</v>
      </c>
      <c r="B190" s="1" t="s">
        <v>375</v>
      </c>
      <c r="C190" s="1" t="s">
        <v>20</v>
      </c>
      <c r="D190" s="1">
        <v>2013</v>
      </c>
      <c r="E190" s="3">
        <v>1479115056</v>
      </c>
      <c r="F190" s="3" t="str" cm="1">
        <f t="array" ref="F190">_xlfn.IFS(STREAMS_STATS[[#This Row],[Streams]] &gt;= 1000000000, "1B+", STREAMS_STATS[[#This Row],[Streams]] &gt;= 500000000, "500M–1B", STREAMS_STATS[[#This Row],[Streams]] &gt;= 250000000, "250M–500M", TRUE, "Under 250M")</f>
        <v>1B+</v>
      </c>
      <c r="G190" s="1">
        <v>17354</v>
      </c>
      <c r="H190" s="1">
        <v>38</v>
      </c>
      <c r="I190" s="1">
        <v>73</v>
      </c>
      <c r="J190" s="1">
        <v>6519</v>
      </c>
      <c r="K190" s="1">
        <v>73</v>
      </c>
      <c r="L190" s="1">
        <v>64</v>
      </c>
      <c r="M190" s="1">
        <v>47</v>
      </c>
      <c r="N190" s="1">
        <v>20636</v>
      </c>
      <c r="O190" s="1">
        <v>232</v>
      </c>
      <c r="P190" s="2">
        <f>SUM(STREAMS_STATS[[#This Row],[In Spotify Playlists]],STREAMS_STATS[[#This Row],[In Apple Playlists]],STREAMS_STATS[[#This Row],[In Deezer Playlists]],STREAMS_STATS[[#This Row],[In YouTube Playlists]])</f>
        <v>44573</v>
      </c>
      <c r="Q190" s="1">
        <v>85</v>
      </c>
      <c r="R190" s="1">
        <v>-4</v>
      </c>
      <c r="S190" s="1" t="s">
        <v>75</v>
      </c>
      <c r="T190" s="1">
        <v>87</v>
      </c>
      <c r="U190" s="1">
        <v>42</v>
      </c>
      <c r="V190" s="1">
        <v>12</v>
      </c>
      <c r="W190" s="1">
        <v>63</v>
      </c>
      <c r="X190" s="1">
        <v>203</v>
      </c>
      <c r="Y190" s="5">
        <f>STREAMS_STATS[[#This Row],[Duration]]/60</f>
        <v>3.3833333333333333</v>
      </c>
      <c r="Z190" s="1">
        <v>7</v>
      </c>
      <c r="AA190" s="1">
        <v>6</v>
      </c>
      <c r="AB190" s="1">
        <v>80</v>
      </c>
    </row>
    <row r="191" spans="1:28">
      <c r="A191" t="s">
        <v>376</v>
      </c>
      <c r="B191" s="1" t="s">
        <v>140</v>
      </c>
      <c r="C191" s="1" t="s">
        <v>67</v>
      </c>
      <c r="D191" s="1">
        <v>2016</v>
      </c>
      <c r="E191" s="3">
        <v>595900742</v>
      </c>
      <c r="F191" s="3" t="str" cm="1">
        <f t="array" ref="F19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91" s="1">
        <v>4827</v>
      </c>
      <c r="H191" s="1">
        <v>403</v>
      </c>
      <c r="I191" s="1">
        <v>6</v>
      </c>
      <c r="J191" s="1">
        <v>12542</v>
      </c>
      <c r="K191" s="1">
        <v>6</v>
      </c>
      <c r="L191" s="1">
        <v>13</v>
      </c>
      <c r="M191" s="1">
        <v>4</v>
      </c>
      <c r="N191" s="1">
        <v>25162</v>
      </c>
      <c r="O191" s="1">
        <v>270</v>
      </c>
      <c r="P191" s="2">
        <f>SUM(STREAMS_STATS[[#This Row],[In Spotify Playlists]],STREAMS_STATS[[#This Row],[In Apple Playlists]],STREAMS_STATS[[#This Row],[In Deezer Playlists]],STREAMS_STATS[[#This Row],[In YouTube Playlists]])</f>
        <v>42544</v>
      </c>
      <c r="Q191" s="1">
        <v>111</v>
      </c>
      <c r="R191" s="1">
        <v>-7</v>
      </c>
      <c r="S191" s="1" t="s">
        <v>75</v>
      </c>
      <c r="T191" s="1">
        <v>50</v>
      </c>
      <c r="U191" s="1">
        <v>81</v>
      </c>
      <c r="V191" s="1">
        <v>34</v>
      </c>
      <c r="W191" s="1">
        <v>47</v>
      </c>
      <c r="X191" s="1">
        <v>201</v>
      </c>
      <c r="Y191" s="5">
        <f>STREAMS_STATS[[#This Row],[Duration]]/60</f>
        <v>3.35</v>
      </c>
      <c r="Z191" s="1">
        <v>1</v>
      </c>
      <c r="AA191" s="1">
        <v>12</v>
      </c>
      <c r="AB191" s="1">
        <v>71</v>
      </c>
    </row>
    <row r="192" spans="1:28">
      <c r="A192" t="s">
        <v>377</v>
      </c>
      <c r="B192" s="1" t="s">
        <v>378</v>
      </c>
      <c r="C192" s="1" t="s">
        <v>13</v>
      </c>
      <c r="D192" s="1">
        <v>2019</v>
      </c>
      <c r="E192" s="3">
        <v>2594040133</v>
      </c>
      <c r="F192" s="3" t="str" cm="1">
        <f t="array" ref="F192">_xlfn.IFS(STREAMS_STATS[[#This Row],[Streams]] &gt;= 1000000000, "1B+", STREAMS_STATS[[#This Row],[Streams]] &gt;= 500000000, "500M–1B", STREAMS_STATS[[#This Row],[Streams]] &gt;= 250000000, "250M–500M", TRUE, "Under 250M")</f>
        <v>1B+</v>
      </c>
      <c r="G192" s="1">
        <v>42798</v>
      </c>
      <c r="H192" s="1">
        <v>2</v>
      </c>
      <c r="I192" s="1">
        <v>50</v>
      </c>
      <c r="J192" s="1">
        <v>21464</v>
      </c>
      <c r="K192" s="1">
        <v>50</v>
      </c>
      <c r="L192" s="2">
        <v>1785</v>
      </c>
      <c r="M192" s="1">
        <v>1</v>
      </c>
      <c r="N192" s="1">
        <v>30322</v>
      </c>
      <c r="O192" s="1">
        <v>221</v>
      </c>
      <c r="P192" s="2">
        <f>SUM(STREAMS_STATS[[#This Row],[In Spotify Playlists]],STREAMS_STATS[[#This Row],[In Apple Playlists]],STREAMS_STATS[[#This Row],[In Deezer Playlists]],STREAMS_STATS[[#This Row],[In YouTube Playlists]])</f>
        <v>96369</v>
      </c>
      <c r="Q192" s="1">
        <v>100</v>
      </c>
      <c r="R192" s="1">
        <v>-3</v>
      </c>
      <c r="S192" s="1" t="s">
        <v>68</v>
      </c>
      <c r="T192" s="1">
        <v>79</v>
      </c>
      <c r="U192" s="1">
        <v>69</v>
      </c>
      <c r="V192" s="1">
        <v>17</v>
      </c>
      <c r="W192" s="1">
        <v>67</v>
      </c>
      <c r="X192" s="1">
        <v>214</v>
      </c>
      <c r="Y192" s="5">
        <f>STREAMS_STATS[[#This Row],[Duration]]/60</f>
        <v>3.5666666666666669</v>
      </c>
      <c r="Z192" s="1">
        <v>19</v>
      </c>
      <c r="AA192" s="1">
        <v>5</v>
      </c>
      <c r="AB192" s="1">
        <v>90</v>
      </c>
    </row>
    <row r="193" spans="1:28">
      <c r="A193" t="s">
        <v>379</v>
      </c>
      <c r="B193" s="1" t="s">
        <v>249</v>
      </c>
      <c r="C193" s="1" t="s">
        <v>67</v>
      </c>
      <c r="D193" s="1">
        <v>2014</v>
      </c>
      <c r="E193" s="3">
        <v>1356565093</v>
      </c>
      <c r="F193" s="3" t="str" cm="1">
        <f t="array" ref="F193">_xlfn.IFS(STREAMS_STATS[[#This Row],[Streams]] &gt;= 1000000000, "1B+", STREAMS_STATS[[#This Row],[Streams]] &gt;= 500000000, "500M–1B", STREAMS_STATS[[#This Row],[Streams]] &gt;= 250000000, "250M–500M", TRUE, "Under 250M")</f>
        <v>1B+</v>
      </c>
      <c r="G193" s="1">
        <v>14417</v>
      </c>
      <c r="H193" s="1">
        <v>50</v>
      </c>
      <c r="I193" s="1">
        <v>39</v>
      </c>
      <c r="J193" s="1">
        <v>4995</v>
      </c>
      <c r="K193" s="1">
        <v>39</v>
      </c>
      <c r="L193" s="1">
        <v>30</v>
      </c>
      <c r="M193" s="1">
        <v>30</v>
      </c>
      <c r="N193" s="1">
        <v>15988</v>
      </c>
      <c r="O193" s="1">
        <v>290</v>
      </c>
      <c r="P193" s="2">
        <f>SUM(STREAMS_STATS[[#This Row],[In Spotify Playlists]],STREAMS_STATS[[#This Row],[In Apple Playlists]],STREAMS_STATS[[#This Row],[In Deezer Playlists]],STREAMS_STATS[[#This Row],[In YouTube Playlists]])</f>
        <v>35430</v>
      </c>
      <c r="Q193" s="1">
        <v>160</v>
      </c>
      <c r="R193" s="1">
        <v>-5</v>
      </c>
      <c r="S193" s="1" t="s">
        <v>75</v>
      </c>
      <c r="T193" s="1">
        <v>82</v>
      </c>
      <c r="U193" s="1">
        <v>65</v>
      </c>
      <c r="V193" s="1">
        <v>9</v>
      </c>
      <c r="W193" s="1">
        <v>96</v>
      </c>
      <c r="X193" s="1">
        <v>233</v>
      </c>
      <c r="Y193" s="5">
        <f>STREAMS_STATS[[#This Row],[Duration]]/60</f>
        <v>3.8833333333333333</v>
      </c>
      <c r="Z193" s="1">
        <v>22</v>
      </c>
      <c r="AA193" s="1">
        <v>18</v>
      </c>
      <c r="AB193" s="1">
        <v>79</v>
      </c>
    </row>
    <row r="194" spans="1:28">
      <c r="A194" t="s">
        <v>380</v>
      </c>
      <c r="B194" s="1" t="s">
        <v>39</v>
      </c>
      <c r="C194" s="1" t="s">
        <v>115</v>
      </c>
      <c r="D194" s="1">
        <v>2010</v>
      </c>
      <c r="E194" s="3">
        <v>288101651</v>
      </c>
      <c r="F194" s="3" t="str" cm="1">
        <f t="array" ref="F19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94" s="1">
        <v>2175</v>
      </c>
      <c r="H194" s="1">
        <v>437</v>
      </c>
      <c r="I194" s="1">
        <v>13</v>
      </c>
      <c r="J194" s="1">
        <v>18489</v>
      </c>
      <c r="K194" s="1">
        <v>98</v>
      </c>
      <c r="L194" s="1">
        <v>9442</v>
      </c>
      <c r="M194" s="1">
        <v>127</v>
      </c>
      <c r="N194" s="1">
        <v>3313</v>
      </c>
      <c r="O194" s="1">
        <v>384</v>
      </c>
      <c r="P194" s="2">
        <f>SUM(STREAMS_STATS[[#This Row],[In Spotify Playlists]],STREAMS_STATS[[#This Row],[In Apple Playlists]],STREAMS_STATS[[#This Row],[In Deezer Playlists]],STREAMS_STATS[[#This Row],[In YouTube Playlists]])</f>
        <v>33419</v>
      </c>
      <c r="Q194" s="1">
        <v>182</v>
      </c>
      <c r="R194" s="1">
        <v>-4</v>
      </c>
      <c r="S194" s="1" t="s">
        <v>75</v>
      </c>
      <c r="T194" s="1">
        <v>75</v>
      </c>
      <c r="U194" s="1">
        <v>31</v>
      </c>
      <c r="V194" s="1">
        <v>65</v>
      </c>
      <c r="W194" s="1">
        <v>16</v>
      </c>
      <c r="X194" s="1">
        <v>251</v>
      </c>
      <c r="Y194" s="5">
        <f>STREAMS_STATS[[#This Row],[Duration]]/60</f>
        <v>4.1833333333333336</v>
      </c>
      <c r="Z194" s="1">
        <v>1</v>
      </c>
      <c r="AA194" s="1">
        <v>11</v>
      </c>
      <c r="AB194" s="1">
        <v>57</v>
      </c>
    </row>
    <row r="195" spans="1:28">
      <c r="A195" t="s">
        <v>381</v>
      </c>
      <c r="B195" s="1" t="s">
        <v>264</v>
      </c>
      <c r="C195" s="1" t="s">
        <v>67</v>
      </c>
      <c r="D195" s="1">
        <v>2018</v>
      </c>
      <c r="E195" s="3">
        <v>2197010679</v>
      </c>
      <c r="F195" s="3" t="str" cm="1">
        <f t="array" ref="F195">_xlfn.IFS(STREAMS_STATS[[#This Row],[Streams]] &gt;= 1000000000, "1B+", STREAMS_STATS[[#This Row],[Streams]] &gt;= 500000000, "500M–1B", STREAMS_STATS[[#This Row],[Streams]] &gt;= 250000000, "250M–500M", TRUE, "Under 250M")</f>
        <v>1B+</v>
      </c>
      <c r="G195" s="1">
        <v>30992</v>
      </c>
      <c r="H195" s="1">
        <v>4</v>
      </c>
      <c r="I195" s="1">
        <v>57</v>
      </c>
      <c r="J195" s="1">
        <v>23390</v>
      </c>
      <c r="K195" s="1">
        <v>57</v>
      </c>
      <c r="L195" s="2">
        <v>1370</v>
      </c>
      <c r="M195" s="1">
        <v>2</v>
      </c>
      <c r="N195" s="1">
        <v>25788</v>
      </c>
      <c r="O195" s="1">
        <v>176</v>
      </c>
      <c r="P195" s="2">
        <f>SUM(STREAMS_STATS[[#This Row],[In Spotify Playlists]],STREAMS_STATS[[#This Row],[In Apple Playlists]],STREAMS_STATS[[#This Row],[In Deezer Playlists]],STREAMS_STATS[[#This Row],[In YouTube Playlists]])</f>
        <v>81540</v>
      </c>
      <c r="Q195" s="1">
        <v>105</v>
      </c>
      <c r="R195" s="1">
        <v>-4</v>
      </c>
      <c r="S195" s="1" t="s">
        <v>75</v>
      </c>
      <c r="T195" s="1">
        <v>52</v>
      </c>
      <c r="U195" s="1">
        <v>77</v>
      </c>
      <c r="V195" s="1">
        <v>13</v>
      </c>
      <c r="W195" s="1">
        <v>39</v>
      </c>
      <c r="X195" s="1">
        <v>217</v>
      </c>
      <c r="Y195" s="5">
        <f>STREAMS_STATS[[#This Row],[Duration]]/60</f>
        <v>3.6166666666666667</v>
      </c>
      <c r="Z195" s="1">
        <v>18</v>
      </c>
      <c r="AA195" s="1">
        <v>3</v>
      </c>
      <c r="AB195" s="1">
        <v>85</v>
      </c>
    </row>
    <row r="196" spans="1:28">
      <c r="A196" t="s">
        <v>382</v>
      </c>
      <c r="B196" s="1" t="s">
        <v>179</v>
      </c>
      <c r="C196" s="1" t="s">
        <v>67</v>
      </c>
      <c r="D196" s="1">
        <v>2013</v>
      </c>
      <c r="E196" s="3">
        <v>972509632</v>
      </c>
      <c r="F196" s="3" t="str" cm="1">
        <f t="array" ref="F19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96" s="1">
        <v>8612</v>
      </c>
      <c r="H196" s="1">
        <v>90</v>
      </c>
      <c r="I196" s="1">
        <v>32</v>
      </c>
      <c r="J196" s="1">
        <v>7665</v>
      </c>
      <c r="K196" s="1">
        <v>85</v>
      </c>
      <c r="L196" s="1">
        <v>18</v>
      </c>
      <c r="M196" s="1">
        <v>16</v>
      </c>
      <c r="N196" s="1">
        <v>38670</v>
      </c>
      <c r="O196" s="1">
        <v>392</v>
      </c>
      <c r="P196" s="2">
        <f>SUM(STREAMS_STATS[[#This Row],[In Spotify Playlists]],STREAMS_STATS[[#This Row],[In Apple Playlists]],STREAMS_STATS[[#This Row],[In Deezer Playlists]],STREAMS_STATS[[#This Row],[In YouTube Playlists]])</f>
        <v>54965</v>
      </c>
      <c r="Q196" s="1">
        <v>174</v>
      </c>
      <c r="R196" s="1">
        <v>-5</v>
      </c>
      <c r="S196" s="1" t="s">
        <v>75</v>
      </c>
      <c r="T196" s="1">
        <v>79</v>
      </c>
      <c r="U196" s="1">
        <v>50</v>
      </c>
      <c r="V196" s="1">
        <v>24</v>
      </c>
      <c r="W196" s="1">
        <v>50</v>
      </c>
      <c r="X196" s="1">
        <v>211</v>
      </c>
      <c r="Y196" s="5">
        <f>STREAMS_STATS[[#This Row],[Duration]]/60</f>
        <v>3.5166666666666666</v>
      </c>
      <c r="Z196" s="1">
        <v>7</v>
      </c>
      <c r="AA196" s="1">
        <v>10</v>
      </c>
      <c r="AB196" s="1">
        <v>76</v>
      </c>
    </row>
    <row r="197" spans="1:28">
      <c r="A197" t="s">
        <v>383</v>
      </c>
      <c r="B197" s="1" t="s">
        <v>384</v>
      </c>
      <c r="C197" s="1" t="s">
        <v>67</v>
      </c>
      <c r="D197" s="1">
        <v>2015</v>
      </c>
      <c r="E197" s="3">
        <v>502574952</v>
      </c>
      <c r="F197" s="3" t="str" cm="1">
        <f t="array" ref="F19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197" s="1">
        <v>4091</v>
      </c>
      <c r="H197" s="1">
        <v>416</v>
      </c>
      <c r="I197" s="1">
        <v>13</v>
      </c>
      <c r="J197" s="1">
        <v>17661</v>
      </c>
      <c r="K197" s="1">
        <v>13</v>
      </c>
      <c r="L197" s="1">
        <v>37</v>
      </c>
      <c r="M197" s="1">
        <v>1</v>
      </c>
      <c r="N197" s="1">
        <v>7044</v>
      </c>
      <c r="O197" s="1">
        <v>400</v>
      </c>
      <c r="P197" s="2">
        <f>SUM(STREAMS_STATS[[#This Row],[In Spotify Playlists]],STREAMS_STATS[[#This Row],[In Apple Playlists]],STREAMS_STATS[[#This Row],[In Deezer Playlists]],STREAMS_STATS[[#This Row],[In YouTube Playlists]])</f>
        <v>28833</v>
      </c>
      <c r="Q197" s="1">
        <v>149</v>
      </c>
      <c r="R197" s="1">
        <v>-4</v>
      </c>
      <c r="S197" s="1" t="s">
        <v>75</v>
      </c>
      <c r="T197" s="1">
        <v>80</v>
      </c>
      <c r="U197" s="1">
        <v>49</v>
      </c>
      <c r="V197" s="1">
        <v>6</v>
      </c>
      <c r="W197" s="1">
        <v>48</v>
      </c>
      <c r="X197" s="1">
        <v>199</v>
      </c>
      <c r="Y197" s="5">
        <f>STREAMS_STATS[[#This Row],[Duration]]/60</f>
        <v>3.3166666666666669</v>
      </c>
      <c r="Z197" s="1">
        <v>1</v>
      </c>
      <c r="AA197" s="1">
        <v>5</v>
      </c>
      <c r="AB197" s="1">
        <v>69</v>
      </c>
    </row>
    <row r="198" spans="1:28">
      <c r="A198" t="s">
        <v>385</v>
      </c>
      <c r="B198" s="1" t="s">
        <v>37</v>
      </c>
      <c r="C198" s="1" t="s">
        <v>134</v>
      </c>
      <c r="D198" s="1">
        <v>2013</v>
      </c>
      <c r="E198" s="3">
        <v>322336177</v>
      </c>
      <c r="F198" s="3" t="str" cm="1">
        <f t="array" ref="F19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198" s="1">
        <v>2499</v>
      </c>
      <c r="H198" s="1">
        <v>322</v>
      </c>
      <c r="I198" s="1">
        <v>2</v>
      </c>
      <c r="J198" s="1">
        <v>263</v>
      </c>
      <c r="K198" s="1">
        <v>2</v>
      </c>
      <c r="L198" s="1">
        <v>13</v>
      </c>
      <c r="M198" s="1">
        <v>14</v>
      </c>
      <c r="N198" s="1">
        <v>17718</v>
      </c>
      <c r="O198" s="1">
        <v>145</v>
      </c>
      <c r="P198" s="2">
        <f>SUM(STREAMS_STATS[[#This Row],[In Spotify Playlists]],STREAMS_STATS[[#This Row],[In Apple Playlists]],STREAMS_STATS[[#This Row],[In Deezer Playlists]],STREAMS_STATS[[#This Row],[In YouTube Playlists]])</f>
        <v>20493</v>
      </c>
      <c r="Q198" s="1">
        <v>105</v>
      </c>
      <c r="R198" s="1">
        <v>-7</v>
      </c>
      <c r="S198" s="1" t="s">
        <v>75</v>
      </c>
      <c r="T198" s="1">
        <v>52</v>
      </c>
      <c r="U198" s="1">
        <v>56</v>
      </c>
      <c r="V198" s="1">
        <v>34</v>
      </c>
      <c r="W198" s="1">
        <v>58</v>
      </c>
      <c r="X198" s="1">
        <v>263</v>
      </c>
      <c r="Y198" s="5">
        <f>STREAMS_STATS[[#This Row],[Duration]]/60</f>
        <v>4.3833333333333337</v>
      </c>
      <c r="Z198" s="1">
        <v>14</v>
      </c>
      <c r="AA198" s="1">
        <v>10</v>
      </c>
      <c r="AB198" s="1">
        <v>61</v>
      </c>
    </row>
    <row r="199" spans="1:28">
      <c r="A199" t="s">
        <v>386</v>
      </c>
      <c r="B199" s="1" t="s">
        <v>36</v>
      </c>
      <c r="C199" s="1" t="s">
        <v>107</v>
      </c>
      <c r="D199" s="1">
        <v>2015</v>
      </c>
      <c r="E199" s="3">
        <v>3916591492</v>
      </c>
      <c r="F199" s="3" t="str" cm="1">
        <f t="array" ref="F199">_xlfn.IFS(STREAMS_STATS[[#This Row],[Streams]] &gt;= 1000000000, "1B+", STREAMS_STATS[[#This Row],[Streams]] &gt;= 500000000, "500M–1B", STREAMS_STATS[[#This Row],[Streams]] &gt;= 250000000, "250M–500M", TRUE, "Under 250M")</f>
        <v>1B+</v>
      </c>
      <c r="G199" s="1">
        <v>62170</v>
      </c>
      <c r="H199" s="1">
        <v>6</v>
      </c>
      <c r="I199" s="1">
        <v>4</v>
      </c>
      <c r="J199" s="1">
        <v>62025</v>
      </c>
      <c r="K199" s="1">
        <v>1</v>
      </c>
      <c r="L199" s="2">
        <v>12692</v>
      </c>
      <c r="M199" s="1">
        <v>3</v>
      </c>
      <c r="N199" s="1">
        <v>74320</v>
      </c>
      <c r="O199" s="1">
        <v>6</v>
      </c>
      <c r="P199" s="2">
        <f>SUM(STREAMS_STATS[[#This Row],[In Spotify Playlists]],STREAMS_STATS[[#This Row],[In Apple Playlists]],STREAMS_STATS[[#This Row],[In Deezer Playlists]],STREAMS_STATS[[#This Row],[In YouTube Playlists]])</f>
        <v>211207</v>
      </c>
      <c r="Q199" s="1">
        <v>158</v>
      </c>
      <c r="R199" s="1">
        <v>-6</v>
      </c>
      <c r="S199" s="1" t="s">
        <v>68</v>
      </c>
      <c r="T199" s="1">
        <v>45</v>
      </c>
      <c r="U199" s="1">
        <v>48</v>
      </c>
      <c r="V199" s="1">
        <v>9</v>
      </c>
      <c r="W199" s="1">
        <v>29</v>
      </c>
      <c r="X199" s="1">
        <v>295</v>
      </c>
      <c r="Y199" s="5">
        <f>STREAMS_STATS[[#This Row],[Duration]]/60</f>
        <v>4.916666666666667</v>
      </c>
      <c r="Z199" s="1">
        <v>34</v>
      </c>
      <c r="AA199" s="1">
        <v>3</v>
      </c>
      <c r="AB199" s="1">
        <v>73</v>
      </c>
    </row>
    <row r="200" spans="1:28">
      <c r="A200" t="s">
        <v>387</v>
      </c>
      <c r="B200" s="1" t="s">
        <v>388</v>
      </c>
      <c r="C200" s="1" t="s">
        <v>23</v>
      </c>
      <c r="D200" s="1">
        <v>2015</v>
      </c>
      <c r="E200" s="3">
        <v>462791599</v>
      </c>
      <c r="F200" s="3" t="str" cm="1">
        <f t="array" ref="F20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00" s="1">
        <v>3618</v>
      </c>
      <c r="H200" s="1">
        <v>137</v>
      </c>
      <c r="I200" s="1">
        <v>28</v>
      </c>
      <c r="J200" s="1">
        <v>24877</v>
      </c>
      <c r="K200" s="1">
        <v>15</v>
      </c>
      <c r="L200" s="1">
        <v>12</v>
      </c>
      <c r="M200" s="1">
        <v>46</v>
      </c>
      <c r="N200" s="1">
        <v>11568</v>
      </c>
      <c r="O200" s="1">
        <v>2</v>
      </c>
      <c r="P200" s="2">
        <f>SUM(STREAMS_STATS[[#This Row],[In Spotify Playlists]],STREAMS_STATS[[#This Row],[In Apple Playlists]],STREAMS_STATS[[#This Row],[In Deezer Playlists]],STREAMS_STATS[[#This Row],[In YouTube Playlists]])</f>
        <v>40075</v>
      </c>
      <c r="Q200" s="1">
        <v>120</v>
      </c>
      <c r="R200" s="1">
        <v>-4</v>
      </c>
      <c r="S200" s="1" t="s">
        <v>68</v>
      </c>
      <c r="T200" s="1">
        <v>82</v>
      </c>
      <c r="U200" s="1">
        <v>38</v>
      </c>
      <c r="V200" s="1">
        <v>8</v>
      </c>
      <c r="W200" s="1">
        <v>33</v>
      </c>
      <c r="X200" s="1">
        <v>199</v>
      </c>
      <c r="Y200" s="5">
        <f>STREAMS_STATS[[#This Row],[Duration]]/60</f>
        <v>3.3166666666666669</v>
      </c>
      <c r="Z200" s="1">
        <v>8</v>
      </c>
      <c r="AA200" s="1">
        <v>10</v>
      </c>
      <c r="AB200" s="1">
        <v>68</v>
      </c>
    </row>
    <row r="201" spans="1:28">
      <c r="A201" t="s">
        <v>389</v>
      </c>
      <c r="B201" s="1" t="s">
        <v>390</v>
      </c>
      <c r="C201" s="1" t="s">
        <v>105</v>
      </c>
      <c r="D201" s="1">
        <v>2015</v>
      </c>
      <c r="E201" s="3">
        <v>273194684</v>
      </c>
      <c r="F201" s="3" t="str" cm="1">
        <f t="array" ref="F20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01" s="1">
        <v>2019</v>
      </c>
      <c r="H201" s="1">
        <v>135</v>
      </c>
      <c r="I201" s="1">
        <v>45</v>
      </c>
      <c r="J201" s="1">
        <v>29799</v>
      </c>
      <c r="K201" s="1">
        <v>90</v>
      </c>
      <c r="L201" s="1">
        <v>5</v>
      </c>
      <c r="M201" s="1">
        <v>49</v>
      </c>
      <c r="N201" s="1">
        <v>15480</v>
      </c>
      <c r="O201" s="1">
        <v>342</v>
      </c>
      <c r="P201" s="2">
        <f>SUM(STREAMS_STATS[[#This Row],[In Spotify Playlists]],STREAMS_STATS[[#This Row],[In Apple Playlists]],STREAMS_STATS[[#This Row],[In Deezer Playlists]],STREAMS_STATS[[#This Row],[In YouTube Playlists]])</f>
        <v>47303</v>
      </c>
      <c r="Q201" s="1">
        <v>126</v>
      </c>
      <c r="R201" s="1">
        <v>-4</v>
      </c>
      <c r="S201" s="1" t="s">
        <v>68</v>
      </c>
      <c r="T201" s="1">
        <v>75</v>
      </c>
      <c r="U201" s="1">
        <v>52</v>
      </c>
      <c r="V201" s="1">
        <v>24</v>
      </c>
      <c r="W201" s="1">
        <v>35</v>
      </c>
      <c r="X201" s="1">
        <v>210</v>
      </c>
      <c r="Y201" s="5">
        <f>STREAMS_STATS[[#This Row],[Duration]]/60</f>
        <v>3.5</v>
      </c>
      <c r="Z201" s="1">
        <v>4</v>
      </c>
      <c r="AA201" s="1">
        <v>6</v>
      </c>
      <c r="AB201" s="1">
        <v>56</v>
      </c>
    </row>
    <row r="202" spans="1:28">
      <c r="A202" t="s">
        <v>391</v>
      </c>
      <c r="B202" s="1" t="s">
        <v>199</v>
      </c>
      <c r="C202" s="1" t="s">
        <v>105</v>
      </c>
      <c r="D202" s="1">
        <v>2014</v>
      </c>
      <c r="E202" s="3">
        <v>1230855859</v>
      </c>
      <c r="F202" s="3" t="str" cm="1">
        <f t="array" ref="F202">_xlfn.IFS(STREAMS_STATS[[#This Row],[Streams]] &gt;= 1000000000, "1B+", STREAMS_STATS[[#This Row],[Streams]] &gt;= 500000000, "500M–1B", STREAMS_STATS[[#This Row],[Streams]] &gt;= 250000000, "250M–500M", TRUE, "Under 250M")</f>
        <v>1B+</v>
      </c>
      <c r="G202" s="1">
        <v>12482</v>
      </c>
      <c r="H202" s="1">
        <v>100</v>
      </c>
      <c r="I202" s="1">
        <v>53</v>
      </c>
      <c r="J202" s="1">
        <v>12166</v>
      </c>
      <c r="K202" s="1">
        <v>95</v>
      </c>
      <c r="L202" s="1">
        <v>15</v>
      </c>
      <c r="M202" s="1">
        <v>20</v>
      </c>
      <c r="N202" s="1">
        <v>10083</v>
      </c>
      <c r="O202" s="1">
        <v>260</v>
      </c>
      <c r="P202" s="2">
        <f>SUM(STREAMS_STATS[[#This Row],[In Spotify Playlists]],STREAMS_STATS[[#This Row],[In Apple Playlists]],STREAMS_STATS[[#This Row],[In Deezer Playlists]],STREAMS_STATS[[#This Row],[In YouTube Playlists]])</f>
        <v>34746</v>
      </c>
      <c r="Q202" s="1">
        <v>125</v>
      </c>
      <c r="R202" s="1">
        <v>-5</v>
      </c>
      <c r="S202" s="1" t="s">
        <v>68</v>
      </c>
      <c r="T202" s="1">
        <v>78</v>
      </c>
      <c r="U202" s="1">
        <v>55</v>
      </c>
      <c r="V202" s="1">
        <v>8</v>
      </c>
      <c r="W202" s="1">
        <v>46</v>
      </c>
      <c r="X202" s="1">
        <v>255</v>
      </c>
      <c r="Y202" s="5">
        <f>STREAMS_STATS[[#This Row],[Duration]]/60</f>
        <v>4.25</v>
      </c>
      <c r="Z202" s="1">
        <v>3</v>
      </c>
      <c r="AA202" s="1">
        <v>4</v>
      </c>
      <c r="AB202" s="1">
        <v>78</v>
      </c>
    </row>
    <row r="203" spans="1:28">
      <c r="A203" t="s">
        <v>392</v>
      </c>
      <c r="B203" s="1" t="s">
        <v>81</v>
      </c>
      <c r="C203" s="1" t="s">
        <v>67</v>
      </c>
      <c r="D203" s="1">
        <v>2015</v>
      </c>
      <c r="E203" s="3">
        <v>657723613</v>
      </c>
      <c r="F203" s="3" t="str" cm="1">
        <f t="array" ref="F20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03" s="1">
        <v>5398</v>
      </c>
      <c r="H203" s="1">
        <v>150</v>
      </c>
      <c r="I203" s="1">
        <v>11</v>
      </c>
      <c r="J203" s="1">
        <v>13376</v>
      </c>
      <c r="K203" s="1">
        <v>11</v>
      </c>
      <c r="L203" s="1">
        <v>22</v>
      </c>
      <c r="M203" s="1">
        <v>1</v>
      </c>
      <c r="N203" s="1">
        <v>7111</v>
      </c>
      <c r="O203" s="1">
        <v>121</v>
      </c>
      <c r="P203" s="2">
        <f>SUM(STREAMS_STATS[[#This Row],[In Spotify Playlists]],STREAMS_STATS[[#This Row],[In Apple Playlists]],STREAMS_STATS[[#This Row],[In Deezer Playlists]],STREAMS_STATS[[#This Row],[In YouTube Playlists]])</f>
        <v>25907</v>
      </c>
      <c r="Q203" s="1">
        <v>86</v>
      </c>
      <c r="R203" s="1">
        <v>-4</v>
      </c>
      <c r="S203" s="1" t="s">
        <v>68</v>
      </c>
      <c r="T203" s="1">
        <v>73</v>
      </c>
      <c r="U203" s="1">
        <v>60</v>
      </c>
      <c r="V203" s="1">
        <v>33</v>
      </c>
      <c r="W203" s="1">
        <v>53</v>
      </c>
      <c r="X203" s="1">
        <v>193</v>
      </c>
      <c r="Y203" s="5">
        <f>STREAMS_STATS[[#This Row],[Duration]]/60</f>
        <v>3.2166666666666668</v>
      </c>
      <c r="Z203" s="1">
        <v>24</v>
      </c>
      <c r="AA203" s="1">
        <v>15</v>
      </c>
      <c r="AB203" s="1">
        <v>72</v>
      </c>
    </row>
    <row r="204" spans="1:28">
      <c r="A204" t="s">
        <v>393</v>
      </c>
      <c r="B204" s="1" t="s">
        <v>394</v>
      </c>
      <c r="C204" s="1" t="s">
        <v>110</v>
      </c>
      <c r="D204" s="1">
        <v>2010</v>
      </c>
      <c r="E204" s="3">
        <v>1858144199</v>
      </c>
      <c r="F204" s="3" t="str" cm="1">
        <f t="array" ref="F204">_xlfn.IFS(STREAMS_STATS[[#This Row],[Streams]] &gt;= 1000000000, "1B+", STREAMS_STATS[[#This Row],[Streams]] &gt;= 500000000, "500M–1B", STREAMS_STATS[[#This Row],[Streams]] &gt;= 250000000, "250M–500M", TRUE, "Under 250M")</f>
        <v>1B+</v>
      </c>
      <c r="G204" s="1">
        <v>24529</v>
      </c>
      <c r="H204" s="1">
        <v>15</v>
      </c>
      <c r="I204" s="1">
        <v>210</v>
      </c>
      <c r="J204" s="1">
        <v>8845</v>
      </c>
      <c r="K204" s="1">
        <v>59</v>
      </c>
      <c r="L204" s="1">
        <v>1593</v>
      </c>
      <c r="M204" s="1">
        <v>107</v>
      </c>
      <c r="N204" s="1">
        <v>9751</v>
      </c>
      <c r="O204" s="1">
        <v>139</v>
      </c>
      <c r="P204" s="2">
        <f>SUM(STREAMS_STATS[[#This Row],[In Spotify Playlists]],STREAMS_STATS[[#This Row],[In Apple Playlists]],STREAMS_STATS[[#This Row],[In Deezer Playlists]],STREAMS_STATS[[#This Row],[In YouTube Playlists]])</f>
        <v>44718</v>
      </c>
      <c r="Q204" s="1">
        <v>97</v>
      </c>
      <c r="R204" s="1">
        <v>-4</v>
      </c>
      <c r="S204" s="1" t="s">
        <v>68</v>
      </c>
      <c r="T204" s="1">
        <v>89</v>
      </c>
      <c r="U204" s="1">
        <v>67</v>
      </c>
      <c r="V204" s="1">
        <v>8</v>
      </c>
      <c r="W204" s="1">
        <v>80</v>
      </c>
      <c r="X204" s="1">
        <v>217</v>
      </c>
      <c r="Y204" s="5">
        <f>STREAMS_STATS[[#This Row],[Duration]]/60</f>
        <v>3.6166666666666667</v>
      </c>
      <c r="Z204" s="1">
        <v>19</v>
      </c>
      <c r="AA204" s="1">
        <v>4</v>
      </c>
      <c r="AB204" s="1">
        <v>83</v>
      </c>
    </row>
    <row r="205" spans="1:28">
      <c r="A205" t="s">
        <v>395</v>
      </c>
      <c r="B205" s="1" t="s">
        <v>206</v>
      </c>
      <c r="C205" s="1" t="s">
        <v>134</v>
      </c>
      <c r="D205" s="1">
        <v>2016</v>
      </c>
      <c r="E205" s="3">
        <v>233671263</v>
      </c>
      <c r="F205" s="3" t="str" cm="1">
        <f t="array" ref="F205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05" s="1">
        <v>1635</v>
      </c>
      <c r="H205" s="1">
        <v>232</v>
      </c>
      <c r="I205" s="1">
        <v>51</v>
      </c>
      <c r="J205" s="1">
        <v>11188</v>
      </c>
      <c r="K205" s="1">
        <v>76</v>
      </c>
      <c r="L205" s="1">
        <v>3</v>
      </c>
      <c r="M205" s="1">
        <v>25</v>
      </c>
      <c r="N205" s="1">
        <v>2278</v>
      </c>
      <c r="O205" s="1">
        <v>357</v>
      </c>
      <c r="P205" s="2">
        <f>SUM(STREAMS_STATS[[#This Row],[In Spotify Playlists]],STREAMS_STATS[[#This Row],[In Apple Playlists]],STREAMS_STATS[[#This Row],[In Deezer Playlists]],STREAMS_STATS[[#This Row],[In YouTube Playlists]])</f>
        <v>15104</v>
      </c>
      <c r="Q205" s="1">
        <v>114</v>
      </c>
      <c r="R205" s="1">
        <v>-5</v>
      </c>
      <c r="S205" s="1" t="s">
        <v>68</v>
      </c>
      <c r="T205" s="1">
        <v>87</v>
      </c>
      <c r="U205" s="1">
        <v>65</v>
      </c>
      <c r="V205" s="1">
        <v>37</v>
      </c>
      <c r="W205" s="1">
        <v>44</v>
      </c>
      <c r="X205" s="1">
        <v>234</v>
      </c>
      <c r="Y205" s="5">
        <f>STREAMS_STATS[[#This Row],[Duration]]/60</f>
        <v>3.9</v>
      </c>
      <c r="Z205" s="1">
        <v>1</v>
      </c>
      <c r="AA205" s="1">
        <v>6</v>
      </c>
      <c r="AB205" s="1">
        <v>46</v>
      </c>
    </row>
    <row r="206" spans="1:28">
      <c r="A206" t="s">
        <v>396</v>
      </c>
      <c r="B206" s="1" t="s">
        <v>339</v>
      </c>
      <c r="C206" s="1" t="s">
        <v>19</v>
      </c>
      <c r="D206" s="1">
        <v>2019</v>
      </c>
      <c r="E206" s="3">
        <v>2557975762</v>
      </c>
      <c r="F206" s="3" t="str" cm="1">
        <f t="array" ref="F206">_xlfn.IFS(STREAMS_STATS[[#This Row],[Streams]] &gt;= 1000000000, "1B+", STREAMS_STATS[[#This Row],[Streams]] &gt;= 500000000, "500M–1B", STREAMS_STATS[[#This Row],[Streams]] &gt;= 250000000, "250M–500M", TRUE, "Under 250M")</f>
        <v>1B+</v>
      </c>
      <c r="G206" s="1">
        <v>36843</v>
      </c>
      <c r="H206" s="1">
        <v>2</v>
      </c>
      <c r="I206" s="1">
        <v>11</v>
      </c>
      <c r="J206" s="1">
        <v>5620</v>
      </c>
      <c r="K206" s="1">
        <v>64</v>
      </c>
      <c r="L206" s="1">
        <v>862</v>
      </c>
      <c r="M206" s="1">
        <v>46</v>
      </c>
      <c r="N206" s="1">
        <v>11811</v>
      </c>
      <c r="O206" s="1">
        <v>149</v>
      </c>
      <c r="P206" s="2">
        <f>SUM(STREAMS_STATS[[#This Row],[In Spotify Playlists]],STREAMS_STATS[[#This Row],[In Apple Playlists]],STREAMS_STATS[[#This Row],[In Deezer Playlists]],STREAMS_STATS[[#This Row],[In YouTube Playlists]])</f>
        <v>55136</v>
      </c>
      <c r="Q206" s="1">
        <v>104</v>
      </c>
      <c r="R206" s="1">
        <v>-7</v>
      </c>
      <c r="S206" s="1" t="s">
        <v>75</v>
      </c>
      <c r="T206" s="1">
        <v>68</v>
      </c>
      <c r="U206" s="1">
        <v>69</v>
      </c>
      <c r="V206" s="1">
        <v>10</v>
      </c>
      <c r="W206" s="1">
        <v>40</v>
      </c>
      <c r="X206" s="1">
        <v>228</v>
      </c>
      <c r="Y206" s="5">
        <f>STREAMS_STATS[[#This Row],[Duration]]/60</f>
        <v>3.8</v>
      </c>
      <c r="Z206" s="1">
        <v>2</v>
      </c>
      <c r="AA206" s="1">
        <v>3</v>
      </c>
      <c r="AB206" s="1">
        <v>88</v>
      </c>
    </row>
    <row r="207" spans="1:28">
      <c r="A207" t="s">
        <v>397</v>
      </c>
      <c r="B207" s="1" t="s">
        <v>398</v>
      </c>
      <c r="C207" s="1" t="s">
        <v>284</v>
      </c>
      <c r="D207" s="1">
        <v>2018</v>
      </c>
      <c r="E207" s="3">
        <v>1159176109</v>
      </c>
      <c r="F207" s="3" t="str" cm="1">
        <f t="array" ref="F207">_xlfn.IFS(STREAMS_STATS[[#This Row],[Streams]] &gt;= 1000000000, "1B+", STREAMS_STATS[[#This Row],[Streams]] &gt;= 500000000, "500M–1B", STREAMS_STATS[[#This Row],[Streams]] &gt;= 250000000, "250M–500M", TRUE, "Under 250M")</f>
        <v>1B+</v>
      </c>
      <c r="G207" s="1">
        <v>10585</v>
      </c>
      <c r="H207" s="1">
        <v>94</v>
      </c>
      <c r="I207" s="1">
        <v>12</v>
      </c>
      <c r="J207" s="1">
        <v>15763</v>
      </c>
      <c r="K207" s="1">
        <v>12</v>
      </c>
      <c r="L207" s="1">
        <v>575</v>
      </c>
      <c r="M207" s="1">
        <v>18</v>
      </c>
      <c r="N207" s="1">
        <v>17337</v>
      </c>
      <c r="O207" s="1">
        <v>52</v>
      </c>
      <c r="P207" s="2">
        <f>SUM(STREAMS_STATS[[#This Row],[In Spotify Playlists]],STREAMS_STATS[[#This Row],[In Apple Playlists]],STREAMS_STATS[[#This Row],[In Deezer Playlists]],STREAMS_STATS[[#This Row],[In YouTube Playlists]])</f>
        <v>44260</v>
      </c>
      <c r="Q207" s="1">
        <v>88</v>
      </c>
      <c r="R207" s="1">
        <v>-6</v>
      </c>
      <c r="S207" s="1" t="s">
        <v>75</v>
      </c>
      <c r="T207" s="1">
        <v>73</v>
      </c>
      <c r="U207" s="1">
        <v>59</v>
      </c>
      <c r="V207" s="1">
        <v>31</v>
      </c>
      <c r="W207" s="1">
        <v>19</v>
      </c>
      <c r="X207" s="1">
        <v>269</v>
      </c>
      <c r="Y207" s="5">
        <f>STREAMS_STATS[[#This Row],[Duration]]/60</f>
        <v>4.4833333333333334</v>
      </c>
      <c r="Z207" s="1">
        <v>5</v>
      </c>
      <c r="AA207" s="1">
        <v>9</v>
      </c>
      <c r="AB207" s="1">
        <v>78</v>
      </c>
    </row>
    <row r="208" spans="1:28">
      <c r="A208" t="s">
        <v>399</v>
      </c>
      <c r="B208" s="1" t="s">
        <v>66</v>
      </c>
      <c r="C208" s="1" t="s">
        <v>67</v>
      </c>
      <c r="D208" s="1">
        <v>2011</v>
      </c>
      <c r="E208" s="3">
        <v>303236322</v>
      </c>
      <c r="F208" s="3" t="str" cm="1">
        <f t="array" ref="F20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08" s="1">
        <v>2335</v>
      </c>
      <c r="H208" s="1">
        <v>159</v>
      </c>
      <c r="I208" s="1">
        <v>454</v>
      </c>
      <c r="J208" s="1">
        <v>33350</v>
      </c>
      <c r="K208" s="1">
        <v>68</v>
      </c>
      <c r="L208" s="1">
        <v>188</v>
      </c>
      <c r="M208" s="1">
        <v>183</v>
      </c>
      <c r="N208" s="1">
        <v>19092</v>
      </c>
      <c r="O208" s="1">
        <v>192</v>
      </c>
      <c r="P208" s="2">
        <f>SUM(STREAMS_STATS[[#This Row],[In Spotify Playlists]],STREAMS_STATS[[#This Row],[In Apple Playlists]],STREAMS_STATS[[#This Row],[In Deezer Playlists]],STREAMS_STATS[[#This Row],[In YouTube Playlists]])</f>
        <v>54965</v>
      </c>
      <c r="Q208" s="1">
        <v>133</v>
      </c>
      <c r="R208" s="1">
        <v>-5</v>
      </c>
      <c r="S208" s="1" t="s">
        <v>75</v>
      </c>
      <c r="T208" s="1">
        <v>72</v>
      </c>
      <c r="U208" s="1">
        <v>65</v>
      </c>
      <c r="V208" s="1">
        <v>24</v>
      </c>
      <c r="W208" s="1">
        <v>39</v>
      </c>
      <c r="X208" s="1">
        <v>229</v>
      </c>
      <c r="Y208" s="5">
        <f>STREAMS_STATS[[#This Row],[Duration]]/60</f>
        <v>3.8166666666666669</v>
      </c>
      <c r="Z208" s="1">
        <v>1</v>
      </c>
      <c r="AA208" s="1">
        <v>4</v>
      </c>
      <c r="AB208" s="1">
        <v>59</v>
      </c>
    </row>
    <row r="209" spans="1:28">
      <c r="A209" t="s">
        <v>400</v>
      </c>
      <c r="B209" s="1" t="s">
        <v>401</v>
      </c>
      <c r="C209" s="1" t="s">
        <v>402</v>
      </c>
      <c r="D209" s="1">
        <v>2013</v>
      </c>
      <c r="E209" s="3">
        <v>726307468</v>
      </c>
      <c r="F209" s="3" t="str" cm="1">
        <f t="array" ref="F20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09" s="1">
        <v>6398</v>
      </c>
      <c r="H209" s="1">
        <v>126</v>
      </c>
      <c r="I209" s="1">
        <v>1</v>
      </c>
      <c r="J209" s="1">
        <v>19017</v>
      </c>
      <c r="K209" s="1">
        <v>1</v>
      </c>
      <c r="L209" s="1">
        <v>7</v>
      </c>
      <c r="M209" s="1">
        <v>34</v>
      </c>
      <c r="N209" s="1">
        <v>8421</v>
      </c>
      <c r="O209" s="1">
        <v>104</v>
      </c>
      <c r="P209" s="2">
        <f>SUM(STREAMS_STATS[[#This Row],[In Spotify Playlists]],STREAMS_STATS[[#This Row],[In Apple Playlists]],STREAMS_STATS[[#This Row],[In Deezer Playlists]],STREAMS_STATS[[#This Row],[In YouTube Playlists]])</f>
        <v>33843</v>
      </c>
      <c r="Q209" s="1">
        <v>100</v>
      </c>
      <c r="R209" s="1">
        <v>-7</v>
      </c>
      <c r="S209" s="1" t="s">
        <v>75</v>
      </c>
      <c r="T209" s="1">
        <v>41</v>
      </c>
      <c r="U209" s="1">
        <v>77</v>
      </c>
      <c r="V209" s="1">
        <v>7</v>
      </c>
      <c r="W209" s="1">
        <v>29</v>
      </c>
      <c r="X209" s="1">
        <v>228</v>
      </c>
      <c r="Y209" s="5">
        <f>STREAMS_STATS[[#This Row],[Duration]]/60</f>
        <v>3.8</v>
      </c>
      <c r="Z209" s="1">
        <v>0</v>
      </c>
      <c r="AA209" s="1">
        <v>10</v>
      </c>
      <c r="AB209" s="1">
        <v>73</v>
      </c>
    </row>
    <row r="210" spans="1:28">
      <c r="A210" t="s">
        <v>403</v>
      </c>
      <c r="B210" s="1" t="s">
        <v>34</v>
      </c>
      <c r="C210" s="1" t="s">
        <v>67</v>
      </c>
      <c r="D210" s="1">
        <v>2015</v>
      </c>
      <c r="E210" s="3">
        <v>1065580332</v>
      </c>
      <c r="F210" s="3" t="str" cm="1">
        <f t="array" ref="F210">_xlfn.IFS(STREAMS_STATS[[#This Row],[Streams]] &gt;= 1000000000, "1B+", STREAMS_STATS[[#This Row],[Streams]] &gt;= 500000000, "500M–1B", STREAMS_STATS[[#This Row],[Streams]] &gt;= 250000000, "250M–500M", TRUE, "Under 250M")</f>
        <v>1B+</v>
      </c>
      <c r="G210" s="1">
        <v>9539</v>
      </c>
      <c r="H210" s="1">
        <v>70</v>
      </c>
      <c r="I210" s="1">
        <v>48</v>
      </c>
      <c r="J210" s="1">
        <v>3666</v>
      </c>
      <c r="K210" s="1">
        <v>72</v>
      </c>
      <c r="L210" s="1">
        <v>14</v>
      </c>
      <c r="M210" s="1">
        <v>8</v>
      </c>
      <c r="N210" s="1">
        <v>7095</v>
      </c>
      <c r="O210" s="1">
        <v>24</v>
      </c>
      <c r="P210" s="2">
        <f>SUM(STREAMS_STATS[[#This Row],[In Spotify Playlists]],STREAMS_STATS[[#This Row],[In Apple Playlists]],STREAMS_STATS[[#This Row],[In Deezer Playlists]],STREAMS_STATS[[#This Row],[In YouTube Playlists]])</f>
        <v>20314</v>
      </c>
      <c r="Q210" s="1">
        <v>122</v>
      </c>
      <c r="R210" s="1">
        <v>-4</v>
      </c>
      <c r="S210" s="1" t="s">
        <v>68</v>
      </c>
      <c r="T210" s="1">
        <v>87</v>
      </c>
      <c r="U210" s="1">
        <v>74</v>
      </c>
      <c r="V210" s="1">
        <v>39</v>
      </c>
      <c r="W210" s="1">
        <v>34</v>
      </c>
      <c r="X210" s="1">
        <v>213</v>
      </c>
      <c r="Y210" s="5">
        <f>STREAMS_STATS[[#This Row],[Duration]]/60</f>
        <v>3.55</v>
      </c>
      <c r="Z210" s="1">
        <v>4</v>
      </c>
      <c r="AA210" s="1">
        <v>7</v>
      </c>
      <c r="AB210" s="1">
        <v>77</v>
      </c>
    </row>
    <row r="211" spans="1:28">
      <c r="A211" t="s">
        <v>404</v>
      </c>
      <c r="B211" s="1" t="s">
        <v>405</v>
      </c>
      <c r="C211" s="1" t="s">
        <v>25</v>
      </c>
      <c r="D211" s="1">
        <v>2019</v>
      </c>
      <c r="E211" s="3">
        <v>2808096550</v>
      </c>
      <c r="F211" s="3" t="str" cm="1">
        <f t="array" ref="F211">_xlfn.IFS(STREAMS_STATS[[#This Row],[Streams]] &gt;= 1000000000, "1B+", STREAMS_STATS[[#This Row],[Streams]] &gt;= 500000000, "500M–1B", STREAMS_STATS[[#This Row],[Streams]] &gt;= 250000000, "250M–500M", TRUE, "Under 250M")</f>
        <v>1B+</v>
      </c>
      <c r="G211" s="1">
        <v>44927</v>
      </c>
      <c r="H211" s="1">
        <v>1</v>
      </c>
      <c r="I211" s="1">
        <v>136</v>
      </c>
      <c r="J211" s="1">
        <v>7204</v>
      </c>
      <c r="K211" s="1">
        <v>136</v>
      </c>
      <c r="L211" s="2">
        <v>6508</v>
      </c>
      <c r="M211" s="1">
        <v>1</v>
      </c>
      <c r="N211" s="1">
        <v>34808</v>
      </c>
      <c r="O211" s="1">
        <v>244</v>
      </c>
      <c r="P211" s="2">
        <f>SUM(STREAMS_STATS[[#This Row],[In Spotify Playlists]],STREAMS_STATS[[#This Row],[In Apple Playlists]],STREAMS_STATS[[#This Row],[In Deezer Playlists]],STREAMS_STATS[[#This Row],[In YouTube Playlists]])</f>
        <v>93447</v>
      </c>
      <c r="Q211" s="1">
        <v>111</v>
      </c>
      <c r="R211" s="1">
        <v>-5</v>
      </c>
      <c r="S211" s="1" t="s">
        <v>68</v>
      </c>
      <c r="T211" s="1">
        <v>68</v>
      </c>
      <c r="U211" s="1">
        <v>48</v>
      </c>
      <c r="V211" s="1">
        <v>8</v>
      </c>
      <c r="W211" s="1">
        <v>35</v>
      </c>
      <c r="X211" s="1">
        <v>202</v>
      </c>
      <c r="Y211" s="5">
        <f>STREAMS_STATS[[#This Row],[Duration]]/60</f>
        <v>3.3666666666666667</v>
      </c>
      <c r="Z211" s="1">
        <v>15</v>
      </c>
      <c r="AA211" s="1">
        <v>9</v>
      </c>
      <c r="AB211" s="1">
        <v>93</v>
      </c>
    </row>
    <row r="212" spans="1:28">
      <c r="A212" t="s">
        <v>406</v>
      </c>
      <c r="B212" s="1" t="s">
        <v>388</v>
      </c>
      <c r="C212" s="1" t="s">
        <v>23</v>
      </c>
      <c r="D212" s="1">
        <v>2017</v>
      </c>
      <c r="E212" s="3">
        <v>582863434</v>
      </c>
      <c r="F212" s="3" t="str" cm="1">
        <f t="array" ref="F21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12" s="1">
        <v>4657</v>
      </c>
      <c r="H212" s="1">
        <v>403</v>
      </c>
      <c r="I212" s="1">
        <v>89</v>
      </c>
      <c r="J212" s="1">
        <v>24508</v>
      </c>
      <c r="K212" s="1">
        <v>89</v>
      </c>
      <c r="L212" s="1">
        <v>44</v>
      </c>
      <c r="M212" s="1">
        <v>24</v>
      </c>
      <c r="N212" s="1">
        <v>27579</v>
      </c>
      <c r="O212" s="1">
        <v>268</v>
      </c>
      <c r="P212" s="2">
        <f>SUM(STREAMS_STATS[[#This Row],[In Spotify Playlists]],STREAMS_STATS[[#This Row],[In Apple Playlists]],STREAMS_STATS[[#This Row],[In Deezer Playlists]],STREAMS_STATS[[#This Row],[In YouTube Playlists]])</f>
        <v>56788</v>
      </c>
      <c r="Q212" s="1">
        <v>181</v>
      </c>
      <c r="R212" s="1">
        <v>-10</v>
      </c>
      <c r="S212" s="1" t="s">
        <v>68</v>
      </c>
      <c r="T212" s="1">
        <v>54</v>
      </c>
      <c r="U212" s="1">
        <v>31</v>
      </c>
      <c r="V212" s="1">
        <v>7</v>
      </c>
      <c r="W212" s="1">
        <v>16</v>
      </c>
      <c r="X212" s="1">
        <v>176</v>
      </c>
      <c r="Y212" s="5">
        <f>STREAMS_STATS[[#This Row],[Duration]]/60</f>
        <v>2.9333333333333331</v>
      </c>
      <c r="Z212" s="1">
        <v>16</v>
      </c>
      <c r="AA212" s="1">
        <v>35</v>
      </c>
      <c r="AB212" s="1">
        <v>71</v>
      </c>
    </row>
    <row r="213" spans="1:28">
      <c r="A213" t="s">
        <v>407</v>
      </c>
      <c r="B213" s="1" t="s">
        <v>408</v>
      </c>
      <c r="C213" s="1" t="s">
        <v>67</v>
      </c>
      <c r="D213" s="1">
        <v>2013</v>
      </c>
      <c r="E213" s="3">
        <v>244790012</v>
      </c>
      <c r="F213" s="3" t="str" cm="1">
        <f t="array" ref="F21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13" s="1">
        <v>1776</v>
      </c>
      <c r="H213" s="1">
        <v>339</v>
      </c>
      <c r="I213" s="1">
        <v>14</v>
      </c>
      <c r="J213" s="1">
        <v>1307</v>
      </c>
      <c r="K213" s="1">
        <v>100</v>
      </c>
      <c r="L213" s="1">
        <v>7</v>
      </c>
      <c r="M213" s="1">
        <v>31</v>
      </c>
      <c r="N213" s="1">
        <v>28498</v>
      </c>
      <c r="O213" s="1">
        <v>63</v>
      </c>
      <c r="P213" s="2">
        <f>SUM(STREAMS_STATS[[#This Row],[In Spotify Playlists]],STREAMS_STATS[[#This Row],[In Apple Playlists]],STREAMS_STATS[[#This Row],[In Deezer Playlists]],STREAMS_STATS[[#This Row],[In YouTube Playlists]])</f>
        <v>31588</v>
      </c>
      <c r="Q213" s="1">
        <v>201</v>
      </c>
      <c r="R213" s="1">
        <v>-3</v>
      </c>
      <c r="S213" s="1" t="s">
        <v>68</v>
      </c>
      <c r="T213" s="1">
        <v>95</v>
      </c>
      <c r="U213" s="1">
        <v>36</v>
      </c>
      <c r="V213" s="1">
        <v>37</v>
      </c>
      <c r="W213" s="1">
        <v>51</v>
      </c>
      <c r="X213" s="1">
        <v>211</v>
      </c>
      <c r="Y213" s="5">
        <f>STREAMS_STATS[[#This Row],[Duration]]/60</f>
        <v>3.5166666666666666</v>
      </c>
      <c r="Z213" s="1">
        <v>9</v>
      </c>
      <c r="AA213" s="1">
        <v>48</v>
      </c>
      <c r="AB213" s="1">
        <v>50</v>
      </c>
    </row>
    <row r="214" spans="1:28">
      <c r="A214" t="s">
        <v>409</v>
      </c>
      <c r="B214" s="1" t="s">
        <v>91</v>
      </c>
      <c r="C214" s="1" t="s">
        <v>67</v>
      </c>
      <c r="D214" s="1">
        <v>2014</v>
      </c>
      <c r="E214" s="3">
        <v>466231982</v>
      </c>
      <c r="F214" s="3" t="str" cm="1">
        <f t="array" ref="F21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14" s="1">
        <v>3681</v>
      </c>
      <c r="H214" s="1">
        <v>326</v>
      </c>
      <c r="I214" s="1">
        <v>59</v>
      </c>
      <c r="J214" s="1">
        <v>39054</v>
      </c>
      <c r="K214" s="1">
        <v>9</v>
      </c>
      <c r="L214" s="1">
        <v>22</v>
      </c>
      <c r="M214" s="1">
        <v>24</v>
      </c>
      <c r="N214" s="1">
        <v>14735</v>
      </c>
      <c r="O214" s="1">
        <v>196</v>
      </c>
      <c r="P214" s="2">
        <f>SUM(STREAMS_STATS[[#This Row],[In Spotify Playlists]],STREAMS_STATS[[#This Row],[In Apple Playlists]],STREAMS_STATS[[#This Row],[In Deezer Playlists]],STREAMS_STATS[[#This Row],[In YouTube Playlists]])</f>
        <v>57492</v>
      </c>
      <c r="Q214" s="1">
        <v>144</v>
      </c>
      <c r="R214" s="1">
        <v>-6</v>
      </c>
      <c r="S214" s="1" t="s">
        <v>75</v>
      </c>
      <c r="T214" s="1">
        <v>49</v>
      </c>
      <c r="U214" s="1">
        <v>44</v>
      </c>
      <c r="V214" s="1">
        <v>11</v>
      </c>
      <c r="W214" s="1">
        <v>25</v>
      </c>
      <c r="X214" s="1">
        <v>251</v>
      </c>
      <c r="Y214" s="5">
        <f>STREAMS_STATS[[#This Row],[Duration]]/60</f>
        <v>4.1833333333333336</v>
      </c>
      <c r="Z214" s="1">
        <v>13</v>
      </c>
      <c r="AA214" s="1">
        <v>4</v>
      </c>
      <c r="AB214" s="1">
        <v>68</v>
      </c>
    </row>
    <row r="215" spans="1:28">
      <c r="A215" t="s">
        <v>410</v>
      </c>
      <c r="B215" s="1" t="s">
        <v>241</v>
      </c>
      <c r="C215" s="1" t="s">
        <v>67</v>
      </c>
      <c r="D215" s="1">
        <v>2016</v>
      </c>
      <c r="E215" s="3">
        <v>284819874</v>
      </c>
      <c r="F215" s="3" t="str" cm="1">
        <f t="array" ref="F21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15" s="1">
        <v>2114</v>
      </c>
      <c r="H215" s="1">
        <v>205</v>
      </c>
      <c r="I215" s="1">
        <v>11</v>
      </c>
      <c r="J215" s="1">
        <v>22611</v>
      </c>
      <c r="K215" s="1">
        <v>11</v>
      </c>
      <c r="L215" s="1">
        <v>44</v>
      </c>
      <c r="M215" s="1">
        <v>21</v>
      </c>
      <c r="N215" s="1">
        <v>36362</v>
      </c>
      <c r="O215" s="1">
        <v>349</v>
      </c>
      <c r="P215" s="2">
        <f>SUM(STREAMS_STATS[[#This Row],[In Spotify Playlists]],STREAMS_STATS[[#This Row],[In Apple Playlists]],STREAMS_STATS[[#This Row],[In Deezer Playlists]],STREAMS_STATS[[#This Row],[In YouTube Playlists]])</f>
        <v>61131</v>
      </c>
      <c r="Q215" s="1">
        <v>106</v>
      </c>
      <c r="R215" s="1">
        <v>-8</v>
      </c>
      <c r="S215" s="1" t="s">
        <v>75</v>
      </c>
      <c r="T215" s="1">
        <v>64</v>
      </c>
      <c r="U215" s="1">
        <v>58</v>
      </c>
      <c r="V215" s="1">
        <v>15</v>
      </c>
      <c r="W215" s="1">
        <v>18</v>
      </c>
      <c r="X215" s="1">
        <v>238</v>
      </c>
      <c r="Y215" s="5">
        <f>STREAMS_STATS[[#This Row],[Duration]]/60</f>
        <v>3.9666666666666668</v>
      </c>
      <c r="Z215" s="1">
        <v>2</v>
      </c>
      <c r="AA215" s="1">
        <v>3</v>
      </c>
      <c r="AB215" s="1">
        <v>57</v>
      </c>
    </row>
    <row r="216" spans="1:28">
      <c r="A216" t="s">
        <v>411</v>
      </c>
      <c r="B216" s="1" t="s">
        <v>303</v>
      </c>
      <c r="C216" s="1" t="s">
        <v>67</v>
      </c>
      <c r="D216" s="1">
        <v>2017</v>
      </c>
      <c r="E216" s="3">
        <v>1180094974</v>
      </c>
      <c r="F216" s="3" t="str" cm="1">
        <f t="array" ref="F216">_xlfn.IFS(STREAMS_STATS[[#This Row],[Streams]] &gt;= 1000000000, "1B+", STREAMS_STATS[[#This Row],[Streams]] &gt;= 500000000, "500M–1B", STREAMS_STATS[[#This Row],[Streams]] &gt;= 250000000, "250M–500M", TRUE, "Under 250M")</f>
        <v>1B+</v>
      </c>
      <c r="G216" s="1">
        <v>11215</v>
      </c>
      <c r="H216" s="1">
        <v>64</v>
      </c>
      <c r="I216" s="1">
        <v>45</v>
      </c>
      <c r="J216" s="1">
        <v>17990</v>
      </c>
      <c r="K216" s="1">
        <v>45</v>
      </c>
      <c r="L216" s="1">
        <v>250</v>
      </c>
      <c r="M216" s="1">
        <v>41</v>
      </c>
      <c r="N216" s="1">
        <v>9708</v>
      </c>
      <c r="O216" s="1">
        <v>91</v>
      </c>
      <c r="P216" s="2">
        <f>SUM(STREAMS_STATS[[#This Row],[In Spotify Playlists]],STREAMS_STATS[[#This Row],[In Apple Playlists]],STREAMS_STATS[[#This Row],[In Deezer Playlists]],STREAMS_STATS[[#This Row],[In YouTube Playlists]])</f>
        <v>39163</v>
      </c>
      <c r="Q216" s="1">
        <v>118</v>
      </c>
      <c r="R216" s="1">
        <v>-8</v>
      </c>
      <c r="S216" s="1" t="s">
        <v>75</v>
      </c>
      <c r="T216" s="1">
        <v>45</v>
      </c>
      <c r="U216" s="1">
        <v>74</v>
      </c>
      <c r="V216" s="1">
        <v>33</v>
      </c>
      <c r="W216" s="1">
        <v>9</v>
      </c>
      <c r="X216" s="1">
        <v>245</v>
      </c>
      <c r="Y216" s="5">
        <f>STREAMS_STATS[[#This Row],[Duration]]/60</f>
        <v>4.083333333333333</v>
      </c>
      <c r="Z216" s="1">
        <v>6</v>
      </c>
      <c r="AA216" s="1">
        <v>6</v>
      </c>
      <c r="AB216" s="1">
        <v>78</v>
      </c>
    </row>
    <row r="217" spans="1:28">
      <c r="A217" t="s">
        <v>412</v>
      </c>
      <c r="B217" s="1" t="s">
        <v>31</v>
      </c>
      <c r="C217" s="1" t="s">
        <v>25</v>
      </c>
      <c r="D217" s="1">
        <v>2019</v>
      </c>
      <c r="E217" s="3">
        <v>2135158446</v>
      </c>
      <c r="F217" s="3" t="str" cm="1">
        <f t="array" ref="F217">_xlfn.IFS(STREAMS_STATS[[#This Row],[Streams]] &gt;= 1000000000, "1B+", STREAMS_STATS[[#This Row],[Streams]] &gt;= 500000000, "500M–1B", STREAMS_STATS[[#This Row],[Streams]] &gt;= 250000000, "250M–500M", TRUE, "Under 250M")</f>
        <v>1B+</v>
      </c>
      <c r="G217" s="1">
        <v>29536</v>
      </c>
      <c r="H217" s="1">
        <v>4</v>
      </c>
      <c r="I217" s="1">
        <v>167</v>
      </c>
      <c r="J217" s="1">
        <v>21363</v>
      </c>
      <c r="K217" s="1">
        <v>167</v>
      </c>
      <c r="L217" s="2">
        <v>3595</v>
      </c>
      <c r="M217" s="1">
        <v>6</v>
      </c>
      <c r="N217" s="1">
        <v>39887</v>
      </c>
      <c r="O217" s="1">
        <v>85</v>
      </c>
      <c r="P217" s="2">
        <f>SUM(STREAMS_STATS[[#This Row],[In Spotify Playlists]],STREAMS_STATS[[#This Row],[In Apple Playlists]],STREAMS_STATS[[#This Row],[In Deezer Playlists]],STREAMS_STATS[[#This Row],[In YouTube Playlists]])</f>
        <v>94381</v>
      </c>
      <c r="Q217" s="1">
        <v>102</v>
      </c>
      <c r="R217" s="1">
        <v>-5</v>
      </c>
      <c r="S217" s="1" t="s">
        <v>68</v>
      </c>
      <c r="T217" s="1">
        <v>68</v>
      </c>
      <c r="U217" s="1">
        <v>80</v>
      </c>
      <c r="V217" s="1">
        <v>9</v>
      </c>
      <c r="W217" s="1">
        <v>84</v>
      </c>
      <c r="X217" s="1">
        <v>220</v>
      </c>
      <c r="Y217" s="5">
        <f>STREAMS_STATS[[#This Row],[Duration]]/60</f>
        <v>3.6666666666666665</v>
      </c>
      <c r="Z217" s="1">
        <v>9</v>
      </c>
      <c r="AA217" s="1">
        <v>4</v>
      </c>
      <c r="AB217" s="1">
        <v>85</v>
      </c>
    </row>
    <row r="218" spans="1:28">
      <c r="A218" t="s">
        <v>413</v>
      </c>
      <c r="B218" s="1" t="s">
        <v>307</v>
      </c>
      <c r="C218" s="1" t="s">
        <v>23</v>
      </c>
      <c r="D218" s="1">
        <v>2017</v>
      </c>
      <c r="E218" s="3">
        <v>1605224506</v>
      </c>
      <c r="F218" s="3" t="str" cm="1">
        <f t="array" ref="F218">_xlfn.IFS(STREAMS_STATS[[#This Row],[Streams]] &gt;= 1000000000, "1B+", STREAMS_STATS[[#This Row],[Streams]] &gt;= 500000000, "500M–1B", STREAMS_STATS[[#This Row],[Streams]] &gt;= 250000000, "250M–500M", TRUE, "Under 250M")</f>
        <v>1B+</v>
      </c>
      <c r="G218" s="1">
        <v>18986</v>
      </c>
      <c r="H218" s="1">
        <v>50</v>
      </c>
      <c r="I218" s="1">
        <v>2</v>
      </c>
      <c r="J218" s="1">
        <v>38199</v>
      </c>
      <c r="K218" s="1">
        <v>4</v>
      </c>
      <c r="L218" s="1">
        <v>113</v>
      </c>
      <c r="M218" s="1">
        <v>1</v>
      </c>
      <c r="N218" s="1">
        <v>2631</v>
      </c>
      <c r="O218" s="1">
        <v>282</v>
      </c>
      <c r="P218" s="2">
        <f>SUM(STREAMS_STATS[[#This Row],[In Spotify Playlists]],STREAMS_STATS[[#This Row],[In Apple Playlists]],STREAMS_STATS[[#This Row],[In Deezer Playlists]],STREAMS_STATS[[#This Row],[In YouTube Playlists]])</f>
        <v>59929</v>
      </c>
      <c r="Q218" s="1">
        <v>93</v>
      </c>
      <c r="R218" s="1">
        <v>-6</v>
      </c>
      <c r="S218" s="1" t="s">
        <v>75</v>
      </c>
      <c r="T218" s="1">
        <v>82</v>
      </c>
      <c r="U218" s="1">
        <v>77</v>
      </c>
      <c r="V218" s="1">
        <v>7</v>
      </c>
      <c r="W218" s="1">
        <v>59</v>
      </c>
      <c r="X218" s="1">
        <v>269</v>
      </c>
      <c r="Y218" s="5">
        <f>STREAMS_STATS[[#This Row],[Duration]]/60</f>
        <v>4.4833333333333334</v>
      </c>
      <c r="Z218" s="1">
        <v>43</v>
      </c>
      <c r="AA218" s="1">
        <v>12</v>
      </c>
      <c r="AB218" s="1">
        <v>81</v>
      </c>
    </row>
    <row r="219" spans="1:28">
      <c r="A219" t="s">
        <v>414</v>
      </c>
      <c r="B219" s="1" t="s">
        <v>327</v>
      </c>
      <c r="C219" s="1" t="s">
        <v>67</v>
      </c>
      <c r="D219" s="1">
        <v>2016</v>
      </c>
      <c r="E219" s="3">
        <v>356709897</v>
      </c>
      <c r="F219" s="3" t="str" cm="1">
        <f t="array" ref="F21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19" s="1">
        <v>2790</v>
      </c>
      <c r="H219" s="1">
        <v>209</v>
      </c>
      <c r="I219" s="1">
        <v>122</v>
      </c>
      <c r="J219" s="1">
        <v>34115</v>
      </c>
      <c r="K219" s="1">
        <v>122</v>
      </c>
      <c r="L219" s="1">
        <v>394</v>
      </c>
      <c r="M219" s="1">
        <v>40</v>
      </c>
      <c r="N219" s="1">
        <v>1650</v>
      </c>
      <c r="O219" s="1">
        <v>114</v>
      </c>
      <c r="P219" s="2">
        <f>SUM(STREAMS_STATS[[#This Row],[In Spotify Playlists]],STREAMS_STATS[[#This Row],[In Apple Playlists]],STREAMS_STATS[[#This Row],[In Deezer Playlists]],STREAMS_STATS[[#This Row],[In YouTube Playlists]])</f>
        <v>38949</v>
      </c>
      <c r="Q219" s="1">
        <v>98</v>
      </c>
      <c r="R219" s="1">
        <v>-5</v>
      </c>
      <c r="S219" s="1" t="s">
        <v>68</v>
      </c>
      <c r="T219" s="1">
        <v>89</v>
      </c>
      <c r="U219" s="1">
        <v>61</v>
      </c>
      <c r="V219" s="1">
        <v>9</v>
      </c>
      <c r="W219" s="1">
        <v>32</v>
      </c>
      <c r="X219" s="1">
        <v>192</v>
      </c>
      <c r="Y219" s="5">
        <f>STREAMS_STATS[[#This Row],[Duration]]/60</f>
        <v>3.2</v>
      </c>
      <c r="Z219" s="1">
        <v>5</v>
      </c>
      <c r="AA219" s="1">
        <v>5</v>
      </c>
      <c r="AB219" s="1">
        <v>64</v>
      </c>
    </row>
    <row r="220" spans="1:28">
      <c r="A220" t="s">
        <v>415</v>
      </c>
      <c r="B220" s="1" t="s">
        <v>77</v>
      </c>
      <c r="C220" s="1" t="s">
        <v>25</v>
      </c>
      <c r="D220" s="1">
        <v>2012</v>
      </c>
      <c r="E220" s="3">
        <v>1131090940</v>
      </c>
      <c r="F220" s="3" t="str" cm="1">
        <f t="array" ref="F220">_xlfn.IFS(STREAMS_STATS[[#This Row],[Streams]] &gt;= 1000000000, "1B+", STREAMS_STATS[[#This Row],[Streams]] &gt;= 500000000, "500M–1B", STREAMS_STATS[[#This Row],[Streams]] &gt;= 250000000, "250M–500M", TRUE, "Under 250M")</f>
        <v>1B+</v>
      </c>
      <c r="G220" s="1">
        <v>10211</v>
      </c>
      <c r="H220" s="1">
        <v>84</v>
      </c>
      <c r="I220" s="1">
        <v>231</v>
      </c>
      <c r="J220" s="1">
        <v>23871</v>
      </c>
      <c r="K220" s="1">
        <v>94</v>
      </c>
      <c r="L220" s="1">
        <v>595</v>
      </c>
      <c r="M220" s="1">
        <v>101</v>
      </c>
      <c r="N220" s="1">
        <v>19812</v>
      </c>
      <c r="O220" s="1">
        <v>149</v>
      </c>
      <c r="P220" s="2">
        <f>SUM(STREAMS_STATS[[#This Row],[In Spotify Playlists]],STREAMS_STATS[[#This Row],[In Apple Playlists]],STREAMS_STATS[[#This Row],[In Deezer Playlists]],STREAMS_STATS[[#This Row],[In YouTube Playlists]])</f>
        <v>54489</v>
      </c>
      <c r="Q220" s="1">
        <v>77</v>
      </c>
      <c r="R220" s="1">
        <v>-7</v>
      </c>
      <c r="S220" s="1" t="s">
        <v>68</v>
      </c>
      <c r="T220" s="1">
        <v>47</v>
      </c>
      <c r="U220" s="1">
        <v>62</v>
      </c>
      <c r="V220" s="1">
        <v>3</v>
      </c>
      <c r="W220" s="1">
        <v>68</v>
      </c>
      <c r="X220" s="1">
        <v>220</v>
      </c>
      <c r="Y220" s="5">
        <f>STREAMS_STATS[[#This Row],[Duration]]/60</f>
        <v>3.6666666666666665</v>
      </c>
      <c r="Z220" s="1">
        <v>0</v>
      </c>
      <c r="AA220" s="1">
        <v>4</v>
      </c>
      <c r="AB220" s="1">
        <v>77</v>
      </c>
    </row>
    <row r="221" spans="1:28">
      <c r="A221" t="s">
        <v>416</v>
      </c>
      <c r="B221" s="1" t="s">
        <v>33</v>
      </c>
      <c r="C221" s="1" t="s">
        <v>134</v>
      </c>
      <c r="D221" s="1">
        <v>2016</v>
      </c>
      <c r="E221" s="3">
        <v>286400165</v>
      </c>
      <c r="F221" s="3" t="str" cm="1">
        <f t="array" ref="F22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21" s="1">
        <v>2128</v>
      </c>
      <c r="H221" s="1">
        <v>165</v>
      </c>
      <c r="I221" s="1">
        <v>1</v>
      </c>
      <c r="J221" s="1">
        <v>38400</v>
      </c>
      <c r="K221" s="1">
        <v>1</v>
      </c>
      <c r="L221" s="1">
        <v>28</v>
      </c>
      <c r="M221" s="1">
        <v>38</v>
      </c>
      <c r="N221" s="1">
        <v>32181</v>
      </c>
      <c r="O221" s="1">
        <v>90</v>
      </c>
      <c r="P221" s="2">
        <f>SUM(STREAMS_STATS[[#This Row],[In Spotify Playlists]],STREAMS_STATS[[#This Row],[In Apple Playlists]],STREAMS_STATS[[#This Row],[In Deezer Playlists]],STREAMS_STATS[[#This Row],[In YouTube Playlists]])</f>
        <v>72737</v>
      </c>
      <c r="Q221" s="1">
        <v>114</v>
      </c>
      <c r="R221" s="1">
        <v>-5</v>
      </c>
      <c r="S221" s="1" t="s">
        <v>68</v>
      </c>
      <c r="T221" s="1">
        <v>77</v>
      </c>
      <c r="U221" s="1">
        <v>68</v>
      </c>
      <c r="V221" s="1">
        <v>16</v>
      </c>
      <c r="W221" s="1">
        <v>72</v>
      </c>
      <c r="X221" s="1">
        <v>224</v>
      </c>
      <c r="Y221" s="5">
        <f>STREAMS_STATS[[#This Row],[Duration]]/60</f>
        <v>3.7333333333333334</v>
      </c>
      <c r="Z221" s="1">
        <v>11</v>
      </c>
      <c r="AA221" s="1">
        <v>10</v>
      </c>
      <c r="AB221" s="1">
        <v>57</v>
      </c>
    </row>
    <row r="222" spans="1:28">
      <c r="A222" t="s">
        <v>417</v>
      </c>
      <c r="B222" s="1" t="s">
        <v>176</v>
      </c>
      <c r="C222" s="1" t="s">
        <v>25</v>
      </c>
      <c r="D222" s="1">
        <v>2018</v>
      </c>
      <c r="E222" s="3">
        <v>2159346687</v>
      </c>
      <c r="F222" s="3" t="str" cm="1">
        <f t="array" ref="F222">_xlfn.IFS(STREAMS_STATS[[#This Row],[Streams]] &gt;= 1000000000, "1B+", STREAMS_STATS[[#This Row],[Streams]] &gt;= 500000000, "500M–1B", STREAMS_STATS[[#This Row],[Streams]] &gt;= 250000000, "250M–500M", TRUE, "Under 250M")</f>
        <v>1B+</v>
      </c>
      <c r="G222" s="1">
        <v>30427</v>
      </c>
      <c r="H222" s="1">
        <v>4</v>
      </c>
      <c r="I222" s="1">
        <v>49</v>
      </c>
      <c r="J222" s="1">
        <v>21332</v>
      </c>
      <c r="K222" s="1">
        <v>52</v>
      </c>
      <c r="L222" s="1">
        <v>549</v>
      </c>
      <c r="M222" s="1">
        <v>34</v>
      </c>
      <c r="N222" s="1">
        <v>15241</v>
      </c>
      <c r="O222" s="1">
        <v>220</v>
      </c>
      <c r="P222" s="2">
        <f>SUM(STREAMS_STATS[[#This Row],[In Spotify Playlists]],STREAMS_STATS[[#This Row],[In Apple Playlists]],STREAMS_STATS[[#This Row],[In Deezer Playlists]],STREAMS_STATS[[#This Row],[In YouTube Playlists]])</f>
        <v>67549</v>
      </c>
      <c r="Q222" s="1">
        <v>136</v>
      </c>
      <c r="R222" s="1">
        <v>-4</v>
      </c>
      <c r="S222" s="1" t="s">
        <v>75</v>
      </c>
      <c r="T222" s="1">
        <v>73</v>
      </c>
      <c r="U222" s="1">
        <v>82</v>
      </c>
      <c r="V222" s="1">
        <v>37</v>
      </c>
      <c r="W222" s="1">
        <v>65</v>
      </c>
      <c r="X222" s="1">
        <v>253</v>
      </c>
      <c r="Y222" s="5">
        <f>STREAMS_STATS[[#This Row],[Duration]]/60</f>
        <v>4.2166666666666668</v>
      </c>
      <c r="Z222" s="1">
        <v>10</v>
      </c>
      <c r="AA222" s="1">
        <v>13</v>
      </c>
      <c r="AB222" s="1">
        <v>85</v>
      </c>
    </row>
    <row r="223" spans="1:28">
      <c r="A223" t="s">
        <v>417</v>
      </c>
      <c r="B223" s="1" t="s">
        <v>332</v>
      </c>
      <c r="C223" s="1" t="s">
        <v>67</v>
      </c>
      <c r="D223" s="1">
        <v>2010</v>
      </c>
      <c r="E223" s="3">
        <v>350381515</v>
      </c>
      <c r="F223" s="3" t="str" cm="1">
        <f t="array" ref="F22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23" s="1">
        <v>2729</v>
      </c>
      <c r="H223" s="1">
        <v>435</v>
      </c>
      <c r="I223" s="1">
        <v>74</v>
      </c>
      <c r="J223" s="1">
        <v>11946</v>
      </c>
      <c r="K223" s="1">
        <v>92</v>
      </c>
      <c r="L223" s="1">
        <v>5996</v>
      </c>
      <c r="M223" s="1">
        <v>147</v>
      </c>
      <c r="N223" s="1">
        <v>34466</v>
      </c>
      <c r="O223" s="1">
        <v>240</v>
      </c>
      <c r="P223" s="2">
        <f>SUM(STREAMS_STATS[[#This Row],[In Spotify Playlists]],STREAMS_STATS[[#This Row],[In Apple Playlists]],STREAMS_STATS[[#This Row],[In Deezer Playlists]],STREAMS_STATS[[#This Row],[In YouTube Playlists]])</f>
        <v>55137</v>
      </c>
      <c r="Q223" s="1">
        <v>129</v>
      </c>
      <c r="R223" s="1">
        <v>-3</v>
      </c>
      <c r="S223" s="1" t="s">
        <v>68</v>
      </c>
      <c r="T223" s="1">
        <v>94</v>
      </c>
      <c r="U223" s="1">
        <v>65</v>
      </c>
      <c r="V223" s="1">
        <v>6</v>
      </c>
      <c r="W223" s="1">
        <v>73</v>
      </c>
      <c r="X223" s="1">
        <v>231</v>
      </c>
      <c r="Y223" s="5">
        <f>STREAMS_STATS[[#This Row],[Duration]]/60</f>
        <v>3.85</v>
      </c>
      <c r="Z223" s="1">
        <v>2</v>
      </c>
      <c r="AA223" s="1">
        <v>9</v>
      </c>
      <c r="AB223" s="1">
        <v>63</v>
      </c>
    </row>
    <row r="224" spans="1:28">
      <c r="A224" t="s">
        <v>418</v>
      </c>
      <c r="B224" s="1" t="s">
        <v>112</v>
      </c>
      <c r="C224" s="1" t="s">
        <v>67</v>
      </c>
      <c r="D224" s="1">
        <v>2015</v>
      </c>
      <c r="E224" s="3">
        <v>436695353</v>
      </c>
      <c r="F224" s="3" t="str" cm="1">
        <f t="array" ref="F22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24" s="1">
        <v>3444</v>
      </c>
      <c r="H224" s="1">
        <v>379</v>
      </c>
      <c r="I224" s="1">
        <v>5</v>
      </c>
      <c r="J224" s="1">
        <v>27112</v>
      </c>
      <c r="K224" s="1">
        <v>5</v>
      </c>
      <c r="L224" s="1">
        <v>2</v>
      </c>
      <c r="M224" s="1">
        <v>14</v>
      </c>
      <c r="N224" s="1">
        <v>19801</v>
      </c>
      <c r="O224" s="1">
        <v>3</v>
      </c>
      <c r="P224" s="2">
        <f>SUM(STREAMS_STATS[[#This Row],[In Spotify Playlists]],STREAMS_STATS[[#This Row],[In Apple Playlists]],STREAMS_STATS[[#This Row],[In Deezer Playlists]],STREAMS_STATS[[#This Row],[In YouTube Playlists]])</f>
        <v>50359</v>
      </c>
      <c r="Q224" s="1">
        <v>120</v>
      </c>
      <c r="R224" s="1">
        <v>-5</v>
      </c>
      <c r="S224" s="1" t="s">
        <v>68</v>
      </c>
      <c r="T224" s="1">
        <v>85</v>
      </c>
      <c r="U224" s="1">
        <v>59</v>
      </c>
      <c r="V224" s="1">
        <v>27</v>
      </c>
      <c r="W224" s="1">
        <v>34</v>
      </c>
      <c r="X224" s="1">
        <v>235</v>
      </c>
      <c r="Y224" s="5">
        <f>STREAMS_STATS[[#This Row],[Duration]]/60</f>
        <v>3.9166666666666665</v>
      </c>
      <c r="Z224" s="1">
        <v>7</v>
      </c>
      <c r="AA224" s="1">
        <v>4</v>
      </c>
      <c r="AB224" s="1">
        <v>67</v>
      </c>
    </row>
    <row r="225" spans="1:28">
      <c r="A225" t="s">
        <v>419</v>
      </c>
      <c r="B225" s="1" t="s">
        <v>420</v>
      </c>
      <c r="C225" s="1" t="s">
        <v>186</v>
      </c>
      <c r="D225" s="1">
        <v>2013</v>
      </c>
      <c r="E225" s="3">
        <v>448500832</v>
      </c>
      <c r="F225" s="3" t="str" cm="1">
        <f t="array" ref="F22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25" s="1">
        <v>3506</v>
      </c>
      <c r="H225" s="1">
        <v>226</v>
      </c>
      <c r="I225" s="1">
        <v>40</v>
      </c>
      <c r="J225" s="1">
        <v>2312</v>
      </c>
      <c r="K225" s="1">
        <v>40</v>
      </c>
      <c r="L225" s="1">
        <v>12</v>
      </c>
      <c r="M225" s="1">
        <v>34</v>
      </c>
      <c r="N225" s="1">
        <v>7601</v>
      </c>
      <c r="O225" s="1">
        <v>41</v>
      </c>
      <c r="P225" s="2">
        <f>SUM(STREAMS_STATS[[#This Row],[In Spotify Playlists]],STREAMS_STATS[[#This Row],[In Apple Playlists]],STREAMS_STATS[[#This Row],[In Deezer Playlists]],STREAMS_STATS[[#This Row],[In YouTube Playlists]])</f>
        <v>13431</v>
      </c>
      <c r="Q225" s="1">
        <v>126</v>
      </c>
      <c r="R225" s="1">
        <v>-3</v>
      </c>
      <c r="S225" s="1" t="s">
        <v>68</v>
      </c>
      <c r="T225" s="1">
        <v>91</v>
      </c>
      <c r="U225" s="1">
        <v>71</v>
      </c>
      <c r="V225" s="1">
        <v>15</v>
      </c>
      <c r="W225" s="1">
        <v>82</v>
      </c>
      <c r="X225" s="1">
        <v>157</v>
      </c>
      <c r="Y225" s="5">
        <f>STREAMS_STATS[[#This Row],[Duration]]/60</f>
        <v>2.6166666666666667</v>
      </c>
      <c r="Z225" s="1">
        <v>1</v>
      </c>
      <c r="AA225" s="1">
        <v>3</v>
      </c>
      <c r="AB225" s="1">
        <v>67</v>
      </c>
    </row>
    <row r="226" spans="1:28">
      <c r="A226" t="s">
        <v>421</v>
      </c>
      <c r="B226" s="1" t="s">
        <v>95</v>
      </c>
      <c r="C226" s="1" t="s">
        <v>67</v>
      </c>
      <c r="D226" s="1">
        <v>2014</v>
      </c>
      <c r="E226" s="3">
        <v>202452860</v>
      </c>
      <c r="F226" s="3" t="str" cm="1">
        <f t="array" ref="F22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26" s="1">
        <v>1420</v>
      </c>
      <c r="H226" s="1">
        <v>287</v>
      </c>
      <c r="I226" s="1">
        <v>81</v>
      </c>
      <c r="J226" s="1">
        <v>18278</v>
      </c>
      <c r="K226" s="1">
        <v>81</v>
      </c>
      <c r="L226" s="1">
        <v>23</v>
      </c>
      <c r="M226" s="1">
        <v>45</v>
      </c>
      <c r="N226" s="1">
        <v>1541</v>
      </c>
      <c r="O226" s="1">
        <v>360</v>
      </c>
      <c r="P226" s="2">
        <f>SUM(STREAMS_STATS[[#This Row],[In Spotify Playlists]],STREAMS_STATS[[#This Row],[In Apple Playlists]],STREAMS_STATS[[#This Row],[In Deezer Playlists]],STREAMS_STATS[[#This Row],[In YouTube Playlists]])</f>
        <v>21262</v>
      </c>
      <c r="Q226" s="1">
        <v>96</v>
      </c>
      <c r="R226" s="1">
        <v>-6</v>
      </c>
      <c r="S226" s="1" t="s">
        <v>68</v>
      </c>
      <c r="T226" s="1">
        <v>73</v>
      </c>
      <c r="U226" s="1">
        <v>74</v>
      </c>
      <c r="V226" s="1">
        <v>12</v>
      </c>
      <c r="W226" s="1">
        <v>59</v>
      </c>
      <c r="X226" s="1">
        <v>207</v>
      </c>
      <c r="Y226" s="5">
        <f>STREAMS_STATS[[#This Row],[Duration]]/60</f>
        <v>3.45</v>
      </c>
      <c r="Z226" s="1">
        <v>45</v>
      </c>
      <c r="AA226" s="1">
        <v>42</v>
      </c>
      <c r="AB226" s="1">
        <v>28</v>
      </c>
    </row>
    <row r="227" spans="1:28">
      <c r="A227" t="s">
        <v>422</v>
      </c>
      <c r="B227" s="1" t="s">
        <v>206</v>
      </c>
      <c r="C227" s="1" t="s">
        <v>134</v>
      </c>
      <c r="D227" s="1">
        <v>2015</v>
      </c>
      <c r="E227" s="3">
        <v>411747614</v>
      </c>
      <c r="F227" s="3" t="str" cm="1">
        <f t="array" ref="F22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27" s="1">
        <v>3246</v>
      </c>
      <c r="H227" s="1">
        <v>316</v>
      </c>
      <c r="I227" s="1">
        <v>63</v>
      </c>
      <c r="J227" s="1">
        <v>36020</v>
      </c>
      <c r="K227" s="1">
        <v>63</v>
      </c>
      <c r="L227" s="1">
        <v>8</v>
      </c>
      <c r="M227" s="1">
        <v>1</v>
      </c>
      <c r="N227" s="1">
        <v>2962</v>
      </c>
      <c r="O227" s="1">
        <v>115</v>
      </c>
      <c r="P227" s="2">
        <f>SUM(STREAMS_STATS[[#This Row],[In Spotify Playlists]],STREAMS_STATS[[#This Row],[In Apple Playlists]],STREAMS_STATS[[#This Row],[In Deezer Playlists]],STREAMS_STATS[[#This Row],[In YouTube Playlists]])</f>
        <v>42236</v>
      </c>
      <c r="Q227" s="1">
        <v>122</v>
      </c>
      <c r="R227" s="1">
        <v>-5</v>
      </c>
      <c r="S227" s="1" t="s">
        <v>75</v>
      </c>
      <c r="T227" s="1">
        <v>81</v>
      </c>
      <c r="U227" s="1">
        <v>62</v>
      </c>
      <c r="V227" s="1">
        <v>22</v>
      </c>
      <c r="W227" s="1">
        <v>60</v>
      </c>
      <c r="X227" s="1">
        <v>205</v>
      </c>
      <c r="Y227" s="5">
        <f>STREAMS_STATS[[#This Row],[Duration]]/60</f>
        <v>3.4166666666666665</v>
      </c>
      <c r="Z227" s="1">
        <v>1</v>
      </c>
      <c r="AA227" s="1">
        <v>4</v>
      </c>
      <c r="AB227" s="1">
        <v>66</v>
      </c>
    </row>
    <row r="228" spans="1:28">
      <c r="A228" t="s">
        <v>423</v>
      </c>
      <c r="B228" s="1" t="s">
        <v>258</v>
      </c>
      <c r="C228" s="1" t="s">
        <v>67</v>
      </c>
      <c r="D228" s="1">
        <v>2016</v>
      </c>
      <c r="E228" s="3">
        <v>1214083358</v>
      </c>
      <c r="F228" s="3" t="str" cm="1">
        <f t="array" ref="F228">_xlfn.IFS(STREAMS_STATS[[#This Row],[Streams]] &gt;= 1000000000, "1B+", STREAMS_STATS[[#This Row],[Streams]] &gt;= 500000000, "500M–1B", STREAMS_STATS[[#This Row],[Streams]] &gt;= 250000000, "250M–500M", TRUE, "Under 250M")</f>
        <v>1B+</v>
      </c>
      <c r="G228" s="1">
        <v>12043</v>
      </c>
      <c r="H228" s="1">
        <v>73</v>
      </c>
      <c r="I228" s="1">
        <v>4</v>
      </c>
      <c r="J228" s="1">
        <v>29430</v>
      </c>
      <c r="K228" s="1">
        <v>4</v>
      </c>
      <c r="L228" s="1">
        <v>248</v>
      </c>
      <c r="M228" s="1">
        <v>1</v>
      </c>
      <c r="N228" s="1">
        <v>38699</v>
      </c>
      <c r="O228" s="1">
        <v>322</v>
      </c>
      <c r="P228" s="2">
        <f>SUM(STREAMS_STATS[[#This Row],[In Spotify Playlists]],STREAMS_STATS[[#This Row],[In Apple Playlists]],STREAMS_STATS[[#This Row],[In Deezer Playlists]],STREAMS_STATS[[#This Row],[In YouTube Playlists]])</f>
        <v>80420</v>
      </c>
      <c r="Q228" s="1">
        <v>102</v>
      </c>
      <c r="R228" s="1">
        <v>-7</v>
      </c>
      <c r="S228" s="1" t="s">
        <v>68</v>
      </c>
      <c r="T228" s="1">
        <v>71</v>
      </c>
      <c r="U228" s="1">
        <v>66</v>
      </c>
      <c r="V228" s="1">
        <v>8</v>
      </c>
      <c r="W228" s="1">
        <v>69</v>
      </c>
      <c r="X228" s="1">
        <v>198</v>
      </c>
      <c r="Y228" s="5">
        <f>STREAMS_STATS[[#This Row],[Duration]]/60</f>
        <v>3.3</v>
      </c>
      <c r="Z228" s="1">
        <v>4</v>
      </c>
      <c r="AA228" s="1">
        <v>11</v>
      </c>
      <c r="AB228" s="1">
        <v>78</v>
      </c>
    </row>
    <row r="229" spans="1:28">
      <c r="A229" t="s">
        <v>424</v>
      </c>
      <c r="B229" s="1" t="s">
        <v>66</v>
      </c>
      <c r="C229" s="1" t="s">
        <v>67</v>
      </c>
      <c r="D229" s="1">
        <v>2011</v>
      </c>
      <c r="E229" s="3">
        <v>366214458</v>
      </c>
      <c r="F229" s="3" t="str" cm="1">
        <f t="array" ref="F22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29" s="1">
        <v>2868</v>
      </c>
      <c r="H229" s="1">
        <v>376</v>
      </c>
      <c r="I229" s="1">
        <v>109</v>
      </c>
      <c r="J229" s="1">
        <v>26722</v>
      </c>
      <c r="K229" s="1">
        <v>59</v>
      </c>
      <c r="L229" s="1">
        <v>2052</v>
      </c>
      <c r="M229" s="1">
        <v>170</v>
      </c>
      <c r="N229" s="1">
        <v>39758</v>
      </c>
      <c r="O229" s="1">
        <v>115</v>
      </c>
      <c r="P229" s="2">
        <f>SUM(STREAMS_STATS[[#This Row],[In Spotify Playlists]],STREAMS_STATS[[#This Row],[In Apple Playlists]],STREAMS_STATS[[#This Row],[In Deezer Playlists]],STREAMS_STATS[[#This Row],[In YouTube Playlists]])</f>
        <v>71400</v>
      </c>
      <c r="Q229" s="1">
        <v>130</v>
      </c>
      <c r="R229" s="1">
        <v>-7</v>
      </c>
      <c r="S229" s="1" t="s">
        <v>68</v>
      </c>
      <c r="T229" s="1">
        <v>55</v>
      </c>
      <c r="U229" s="1">
        <v>70</v>
      </c>
      <c r="V229" s="1">
        <v>33</v>
      </c>
      <c r="W229" s="1">
        <v>79</v>
      </c>
      <c r="X229" s="1">
        <v>210</v>
      </c>
      <c r="Y229" s="5">
        <f>STREAMS_STATS[[#This Row],[Duration]]/60</f>
        <v>3.5</v>
      </c>
      <c r="Z229" s="1">
        <v>0</v>
      </c>
      <c r="AA229" s="1">
        <v>4</v>
      </c>
      <c r="AB229" s="1">
        <v>64</v>
      </c>
    </row>
    <row r="230" spans="1:28">
      <c r="A230" t="s">
        <v>425</v>
      </c>
      <c r="B230" s="1" t="s">
        <v>236</v>
      </c>
      <c r="C230" s="1" t="s">
        <v>237</v>
      </c>
      <c r="D230" s="1">
        <v>2015</v>
      </c>
      <c r="E230" s="3">
        <v>466214729</v>
      </c>
      <c r="F230" s="3" t="str" cm="1">
        <f t="array" ref="F23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30" s="1">
        <v>3659</v>
      </c>
      <c r="H230" s="1">
        <v>243</v>
      </c>
      <c r="I230" s="1">
        <v>47</v>
      </c>
      <c r="J230" s="1">
        <v>13913</v>
      </c>
      <c r="K230" s="1">
        <v>50</v>
      </c>
      <c r="L230" s="1">
        <v>3</v>
      </c>
      <c r="M230" s="1">
        <v>33</v>
      </c>
      <c r="N230" s="1">
        <v>17338</v>
      </c>
      <c r="O230" s="1">
        <v>215</v>
      </c>
      <c r="P230" s="2">
        <f>SUM(STREAMS_STATS[[#This Row],[In Spotify Playlists]],STREAMS_STATS[[#This Row],[In Apple Playlists]],STREAMS_STATS[[#This Row],[In Deezer Playlists]],STREAMS_STATS[[#This Row],[In YouTube Playlists]])</f>
        <v>34913</v>
      </c>
      <c r="Q230" s="1">
        <v>130</v>
      </c>
      <c r="R230" s="1">
        <v>-3</v>
      </c>
      <c r="S230" s="1" t="s">
        <v>75</v>
      </c>
      <c r="T230" s="1">
        <v>85</v>
      </c>
      <c r="U230" s="1">
        <v>58</v>
      </c>
      <c r="V230" s="1">
        <v>14</v>
      </c>
      <c r="W230" s="1">
        <v>37</v>
      </c>
      <c r="X230" s="1">
        <v>240</v>
      </c>
      <c r="Y230" s="5">
        <f>STREAMS_STATS[[#This Row],[Duration]]/60</f>
        <v>4</v>
      </c>
      <c r="Z230" s="1">
        <v>1</v>
      </c>
      <c r="AA230" s="1">
        <v>6</v>
      </c>
      <c r="AB230" s="1">
        <v>68</v>
      </c>
    </row>
    <row r="231" spans="1:28">
      <c r="A231" t="s">
        <v>426</v>
      </c>
      <c r="B231" s="1" t="s">
        <v>427</v>
      </c>
      <c r="C231" s="1" t="s">
        <v>67</v>
      </c>
      <c r="D231" s="1">
        <v>2018</v>
      </c>
      <c r="E231" s="3">
        <v>1929770265</v>
      </c>
      <c r="F231" s="3" t="str" cm="1">
        <f t="array" ref="F231">_xlfn.IFS(STREAMS_STATS[[#This Row],[Streams]] &gt;= 1000000000, "1B+", STREAMS_STATS[[#This Row],[Streams]] &gt;= 500000000, "500M–1B", STREAMS_STATS[[#This Row],[Streams]] &gt;= 250000000, "250M–500M", TRUE, "Under 250M")</f>
        <v>1B+</v>
      </c>
      <c r="G231" s="1">
        <v>25744</v>
      </c>
      <c r="H231" s="1">
        <v>12</v>
      </c>
      <c r="I231" s="1">
        <v>79</v>
      </c>
      <c r="J231" s="1">
        <v>20770</v>
      </c>
      <c r="K231" s="1">
        <v>79</v>
      </c>
      <c r="L231" s="1">
        <v>65</v>
      </c>
      <c r="M231" s="1">
        <v>26</v>
      </c>
      <c r="N231" s="1">
        <v>14345</v>
      </c>
      <c r="O231" s="1">
        <v>29</v>
      </c>
      <c r="P231" s="2">
        <f>SUM(STREAMS_STATS[[#This Row],[In Spotify Playlists]],STREAMS_STATS[[#This Row],[In Apple Playlists]],STREAMS_STATS[[#This Row],[In Deezer Playlists]],STREAMS_STATS[[#This Row],[In YouTube Playlists]])</f>
        <v>60924</v>
      </c>
      <c r="Q231" s="1">
        <v>97</v>
      </c>
      <c r="R231" s="1">
        <v>-6</v>
      </c>
      <c r="S231" s="1" t="s">
        <v>68</v>
      </c>
      <c r="T231" s="1">
        <v>54</v>
      </c>
      <c r="U231" s="1">
        <v>84</v>
      </c>
      <c r="V231" s="1">
        <v>8</v>
      </c>
      <c r="W231" s="1">
        <v>51</v>
      </c>
      <c r="X231" s="1">
        <v>218</v>
      </c>
      <c r="Y231" s="5">
        <f>STREAMS_STATS[[#This Row],[Duration]]/60</f>
        <v>3.6333333333333333</v>
      </c>
      <c r="Z231" s="1">
        <v>4</v>
      </c>
      <c r="AA231" s="1">
        <v>9</v>
      </c>
      <c r="AB231" s="1">
        <v>84</v>
      </c>
    </row>
    <row r="232" spans="1:28">
      <c r="A232" t="s">
        <v>428</v>
      </c>
      <c r="B232" s="1" t="s">
        <v>429</v>
      </c>
      <c r="C232" s="1" t="s">
        <v>144</v>
      </c>
      <c r="D232" s="1">
        <v>2010</v>
      </c>
      <c r="E232" s="3">
        <v>304118600</v>
      </c>
      <c r="F232" s="3" t="str" cm="1">
        <f t="array" ref="F23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32" s="1">
        <v>2346</v>
      </c>
      <c r="H232" s="1">
        <v>364</v>
      </c>
      <c r="I232" s="1">
        <v>252</v>
      </c>
      <c r="J232" s="1">
        <v>28135</v>
      </c>
      <c r="K232" s="1">
        <v>59</v>
      </c>
      <c r="L232" s="1">
        <v>9918</v>
      </c>
      <c r="M232" s="1">
        <v>102</v>
      </c>
      <c r="N232" s="1">
        <v>3820</v>
      </c>
      <c r="O232" s="1">
        <v>11</v>
      </c>
      <c r="P232" s="2">
        <f>SUM(STREAMS_STATS[[#This Row],[In Spotify Playlists]],STREAMS_STATS[[#This Row],[In Apple Playlists]],STREAMS_STATS[[#This Row],[In Deezer Playlists]],STREAMS_STATS[[#This Row],[In YouTube Playlists]])</f>
        <v>44219</v>
      </c>
      <c r="Q232" s="1">
        <v>131</v>
      </c>
      <c r="R232" s="1">
        <v>-4</v>
      </c>
      <c r="S232" s="1" t="s">
        <v>68</v>
      </c>
      <c r="T232" s="1">
        <v>91</v>
      </c>
      <c r="U232" s="1">
        <v>65</v>
      </c>
      <c r="V232" s="1">
        <v>37</v>
      </c>
      <c r="W232" s="1">
        <v>79</v>
      </c>
      <c r="X232" s="1">
        <v>228</v>
      </c>
      <c r="Y232" s="5">
        <f>STREAMS_STATS[[#This Row],[Duration]]/60</f>
        <v>3.8</v>
      </c>
      <c r="Z232" s="1">
        <v>1</v>
      </c>
      <c r="AA232" s="1">
        <v>11</v>
      </c>
      <c r="AB232" s="1">
        <v>59</v>
      </c>
    </row>
    <row r="233" spans="1:28">
      <c r="A233" t="s">
        <v>430</v>
      </c>
      <c r="B233" s="1" t="s">
        <v>112</v>
      </c>
      <c r="C233" s="1" t="s">
        <v>67</v>
      </c>
      <c r="D233" s="1">
        <v>2013</v>
      </c>
      <c r="E233" s="3">
        <v>506778838</v>
      </c>
      <c r="F233" s="3" t="str" cm="1">
        <f t="array" ref="F23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33" s="1">
        <v>4096</v>
      </c>
      <c r="H233" s="1">
        <v>400</v>
      </c>
      <c r="I233" s="1">
        <v>137</v>
      </c>
      <c r="J233" s="1">
        <v>12349</v>
      </c>
      <c r="K233" s="1">
        <v>137</v>
      </c>
      <c r="L233" s="2">
        <v>2445</v>
      </c>
      <c r="M233" s="1">
        <v>1</v>
      </c>
      <c r="N233" s="1">
        <v>37773</v>
      </c>
      <c r="O233" s="1">
        <v>377</v>
      </c>
      <c r="P233" s="2">
        <f>SUM(STREAMS_STATS[[#This Row],[In Spotify Playlists]],STREAMS_STATS[[#This Row],[In Apple Playlists]],STREAMS_STATS[[#This Row],[In Deezer Playlists]],STREAMS_STATS[[#This Row],[In YouTube Playlists]])</f>
        <v>56663</v>
      </c>
      <c r="Q233" s="1">
        <v>126</v>
      </c>
      <c r="R233" s="1">
        <v>-6</v>
      </c>
      <c r="S233" s="1" t="s">
        <v>68</v>
      </c>
      <c r="T233" s="1">
        <v>75</v>
      </c>
      <c r="U233" s="1">
        <v>52</v>
      </c>
      <c r="V233" s="1">
        <v>14</v>
      </c>
      <c r="W233" s="1">
        <v>16</v>
      </c>
      <c r="X233" s="1">
        <v>215</v>
      </c>
      <c r="Y233" s="5">
        <f>STREAMS_STATS[[#This Row],[Duration]]/60</f>
        <v>3.5833333333333335</v>
      </c>
      <c r="Z233" s="1">
        <v>26</v>
      </c>
      <c r="AA233" s="1">
        <v>4</v>
      </c>
      <c r="AB233" s="1">
        <v>69</v>
      </c>
    </row>
    <row r="234" spans="1:28">
      <c r="A234" t="s">
        <v>431</v>
      </c>
      <c r="B234" s="1" t="s">
        <v>37</v>
      </c>
      <c r="C234" s="1" t="s">
        <v>134</v>
      </c>
      <c r="D234" s="1">
        <v>2015</v>
      </c>
      <c r="E234" s="3">
        <v>463564958</v>
      </c>
      <c r="F234" s="3" t="str" cm="1">
        <f t="array" ref="F23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34" s="1">
        <v>3643</v>
      </c>
      <c r="H234" s="1">
        <v>212</v>
      </c>
      <c r="I234" s="1">
        <v>18</v>
      </c>
      <c r="J234" s="1">
        <v>4381</v>
      </c>
      <c r="K234" s="1">
        <v>18</v>
      </c>
      <c r="L234" s="1">
        <v>14</v>
      </c>
      <c r="M234" s="1">
        <v>34</v>
      </c>
      <c r="N234" s="1">
        <v>23914</v>
      </c>
      <c r="O234" s="1">
        <v>80</v>
      </c>
      <c r="P234" s="2">
        <f>SUM(STREAMS_STATS[[#This Row],[In Spotify Playlists]],STREAMS_STATS[[#This Row],[In Apple Playlists]],STREAMS_STATS[[#This Row],[In Deezer Playlists]],STREAMS_STATS[[#This Row],[In YouTube Playlists]])</f>
        <v>31952</v>
      </c>
      <c r="Q234" s="1">
        <v>192</v>
      </c>
      <c r="R234" s="1">
        <v>-7</v>
      </c>
      <c r="S234" s="1" t="s">
        <v>75</v>
      </c>
      <c r="T234" s="1">
        <v>61</v>
      </c>
      <c r="U234" s="1">
        <v>36</v>
      </c>
      <c r="V234" s="1">
        <v>18</v>
      </c>
      <c r="W234" s="1">
        <v>8</v>
      </c>
      <c r="X234" s="1">
        <v>200</v>
      </c>
      <c r="Y234" s="5">
        <f>STREAMS_STATS[[#This Row],[Duration]]/60</f>
        <v>3.3333333333333335</v>
      </c>
      <c r="Z234" s="1">
        <v>5</v>
      </c>
      <c r="AA234" s="1">
        <v>10</v>
      </c>
      <c r="AB234" s="1">
        <v>68</v>
      </c>
    </row>
    <row r="235" spans="1:28">
      <c r="A235" t="s">
        <v>432</v>
      </c>
      <c r="B235" s="1" t="s">
        <v>95</v>
      </c>
      <c r="C235" s="1" t="s">
        <v>67</v>
      </c>
      <c r="D235" s="1">
        <v>2011</v>
      </c>
      <c r="E235" s="3">
        <v>303216294</v>
      </c>
      <c r="F235" s="3" t="str" cm="1">
        <f t="array" ref="F23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35" s="1">
        <v>2332</v>
      </c>
      <c r="H235" s="1">
        <v>361</v>
      </c>
      <c r="I235" s="1">
        <v>250</v>
      </c>
      <c r="J235" s="1">
        <v>13246</v>
      </c>
      <c r="K235" s="1">
        <v>67</v>
      </c>
      <c r="L235" s="1">
        <v>8548</v>
      </c>
      <c r="M235" s="1">
        <v>171</v>
      </c>
      <c r="N235" s="1">
        <v>33940</v>
      </c>
      <c r="O235" s="1">
        <v>160</v>
      </c>
      <c r="P235" s="2">
        <f>SUM(STREAMS_STATS[[#This Row],[In Spotify Playlists]],STREAMS_STATS[[#This Row],[In Apple Playlists]],STREAMS_STATS[[#This Row],[In Deezer Playlists]],STREAMS_STATS[[#This Row],[In YouTube Playlists]])</f>
        <v>58066</v>
      </c>
      <c r="Q235" s="1">
        <v>84</v>
      </c>
      <c r="R235" s="1">
        <v>-4</v>
      </c>
      <c r="S235" s="1" t="s">
        <v>68</v>
      </c>
      <c r="T235" s="1">
        <v>75</v>
      </c>
      <c r="U235" s="1">
        <v>59</v>
      </c>
      <c r="V235" s="1">
        <v>8</v>
      </c>
      <c r="W235" s="1">
        <v>70</v>
      </c>
      <c r="X235" s="1">
        <v>200</v>
      </c>
      <c r="Y235" s="5">
        <f>STREAMS_STATS[[#This Row],[Duration]]/60</f>
        <v>3.3333333333333335</v>
      </c>
      <c r="Z235" s="1">
        <v>2</v>
      </c>
      <c r="AA235" s="1">
        <v>14</v>
      </c>
      <c r="AB235" s="1">
        <v>59</v>
      </c>
    </row>
    <row r="236" spans="1:28">
      <c r="A236" t="s">
        <v>433</v>
      </c>
      <c r="B236" s="1" t="s">
        <v>405</v>
      </c>
      <c r="C236" s="1" t="s">
        <v>25</v>
      </c>
      <c r="D236" s="1">
        <v>2015</v>
      </c>
      <c r="E236" s="3">
        <v>2123309722</v>
      </c>
      <c r="F236" s="3" t="str" cm="1">
        <f t="array" ref="F236">_xlfn.IFS(STREAMS_STATS[[#This Row],[Streams]] &gt;= 1000000000, "1B+", STREAMS_STATS[[#This Row],[Streams]] &gt;= 500000000, "500M–1B", STREAMS_STATS[[#This Row],[Streams]] &gt;= 250000000, "250M–500M", TRUE, "Under 250M")</f>
        <v>1B+</v>
      </c>
      <c r="G236" s="1">
        <v>29215</v>
      </c>
      <c r="H236" s="1">
        <v>5</v>
      </c>
      <c r="I236" s="1">
        <v>45</v>
      </c>
      <c r="J236" s="1">
        <v>22496</v>
      </c>
      <c r="K236" s="1">
        <v>45</v>
      </c>
      <c r="L236" s="1">
        <v>36</v>
      </c>
      <c r="M236" s="1">
        <v>16</v>
      </c>
      <c r="N236" s="1">
        <v>5179</v>
      </c>
      <c r="O236" s="1">
        <v>62</v>
      </c>
      <c r="P236" s="2">
        <f>SUM(STREAMS_STATS[[#This Row],[In Spotify Playlists]],STREAMS_STATS[[#This Row],[In Apple Playlists]],STREAMS_STATS[[#This Row],[In Deezer Playlists]],STREAMS_STATS[[#This Row],[In YouTube Playlists]])</f>
        <v>56926</v>
      </c>
      <c r="Q236" s="1">
        <v>82</v>
      </c>
      <c r="R236" s="1">
        <v>-6</v>
      </c>
      <c r="S236" s="1" t="s">
        <v>68</v>
      </c>
      <c r="T236" s="1">
        <v>49</v>
      </c>
      <c r="U236" s="1">
        <v>68</v>
      </c>
      <c r="V236" s="1">
        <v>8</v>
      </c>
      <c r="W236" s="1">
        <v>49</v>
      </c>
      <c r="X236" s="1">
        <v>239</v>
      </c>
      <c r="Y236" s="5">
        <f>STREAMS_STATS[[#This Row],[Duration]]/60</f>
        <v>3.9833333333333334</v>
      </c>
      <c r="Z236" s="1">
        <v>53</v>
      </c>
      <c r="AA236" s="1">
        <v>4</v>
      </c>
      <c r="AB236" s="1">
        <v>84</v>
      </c>
    </row>
    <row r="237" spans="1:28">
      <c r="A237" t="s">
        <v>434</v>
      </c>
      <c r="B237" s="1" t="s">
        <v>435</v>
      </c>
      <c r="C237" s="1" t="s">
        <v>67</v>
      </c>
      <c r="D237" s="1">
        <v>2017</v>
      </c>
      <c r="E237" s="3">
        <v>1061966512</v>
      </c>
      <c r="F237" s="3" t="str" cm="1">
        <f t="array" ref="F237">_xlfn.IFS(STREAMS_STATS[[#This Row],[Streams]] &gt;= 1000000000, "1B+", STREAMS_STATS[[#This Row],[Streams]] &gt;= 500000000, "500M–1B", STREAMS_STATS[[#This Row],[Streams]] &gt;= 250000000, "250M–500M", TRUE, "Under 250M")</f>
        <v>1B+</v>
      </c>
      <c r="G237" s="1">
        <v>9408</v>
      </c>
      <c r="H237" s="1">
        <v>67</v>
      </c>
      <c r="I237" s="1">
        <v>2</v>
      </c>
      <c r="J237" s="1">
        <v>14184</v>
      </c>
      <c r="K237" s="1">
        <v>2</v>
      </c>
      <c r="L237" s="1">
        <v>73</v>
      </c>
      <c r="M237" s="1">
        <v>13</v>
      </c>
      <c r="N237" s="1">
        <v>21081</v>
      </c>
      <c r="O237" s="1">
        <v>315</v>
      </c>
      <c r="P237" s="2">
        <f>SUM(STREAMS_STATS[[#This Row],[In Spotify Playlists]],STREAMS_STATS[[#This Row],[In Apple Playlists]],STREAMS_STATS[[#This Row],[In Deezer Playlists]],STREAMS_STATS[[#This Row],[In YouTube Playlists]])</f>
        <v>44746</v>
      </c>
      <c r="Q237" s="1">
        <v>81</v>
      </c>
      <c r="R237" s="1">
        <v>-4</v>
      </c>
      <c r="S237" s="1" t="s">
        <v>68</v>
      </c>
      <c r="T237" s="1">
        <v>67</v>
      </c>
      <c r="U237" s="1">
        <v>61</v>
      </c>
      <c r="V237" s="1">
        <v>17</v>
      </c>
      <c r="W237" s="1">
        <v>81</v>
      </c>
      <c r="X237" s="1">
        <v>289</v>
      </c>
      <c r="Y237" s="5">
        <f>STREAMS_STATS[[#This Row],[Duration]]/60</f>
        <v>4.8166666666666664</v>
      </c>
      <c r="Z237" s="1">
        <v>6</v>
      </c>
      <c r="AA237" s="1">
        <v>4</v>
      </c>
      <c r="AB237" s="1">
        <v>77</v>
      </c>
    </row>
    <row r="238" spans="1:28">
      <c r="A238" t="s">
        <v>436</v>
      </c>
      <c r="B238" s="1" t="s">
        <v>437</v>
      </c>
      <c r="C238" s="1" t="s">
        <v>67</v>
      </c>
      <c r="D238" s="1">
        <v>2010</v>
      </c>
      <c r="E238" s="3">
        <v>335222234</v>
      </c>
      <c r="F238" s="3" t="str" cm="1">
        <f t="array" ref="F23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38" s="1">
        <v>2598</v>
      </c>
      <c r="H238" s="1">
        <v>360</v>
      </c>
      <c r="I238" s="1">
        <v>123</v>
      </c>
      <c r="J238" s="1">
        <v>33884</v>
      </c>
      <c r="K238" s="1">
        <v>84</v>
      </c>
      <c r="L238" s="1">
        <v>1962</v>
      </c>
      <c r="M238" s="1">
        <v>88</v>
      </c>
      <c r="N238" s="1">
        <v>10728</v>
      </c>
      <c r="O238" s="1">
        <v>338</v>
      </c>
      <c r="P238" s="2">
        <f>SUM(STREAMS_STATS[[#This Row],[In Spotify Playlists]],STREAMS_STATS[[#This Row],[In Apple Playlists]],STREAMS_STATS[[#This Row],[In Deezer Playlists]],STREAMS_STATS[[#This Row],[In YouTube Playlists]])</f>
        <v>49172</v>
      </c>
      <c r="Q238" s="1">
        <v>92</v>
      </c>
      <c r="R238" s="1">
        <v>-7</v>
      </c>
      <c r="S238" s="1" t="s">
        <v>68</v>
      </c>
      <c r="T238" s="1">
        <v>52</v>
      </c>
      <c r="U238" s="1">
        <v>60</v>
      </c>
      <c r="V238" s="1">
        <v>31</v>
      </c>
      <c r="W238" s="1">
        <v>41</v>
      </c>
      <c r="X238" s="1">
        <v>258</v>
      </c>
      <c r="Y238" s="5">
        <f>STREAMS_STATS[[#This Row],[Duration]]/60</f>
        <v>4.3</v>
      </c>
      <c r="Z238" s="1">
        <v>18</v>
      </c>
      <c r="AA238" s="1">
        <v>37</v>
      </c>
      <c r="AB238" s="1">
        <v>62</v>
      </c>
    </row>
    <row r="239" spans="1:28">
      <c r="A239" t="s">
        <v>438</v>
      </c>
      <c r="B239" s="1" t="s">
        <v>439</v>
      </c>
      <c r="C239" s="1" t="s">
        <v>25</v>
      </c>
      <c r="D239" s="1">
        <v>2013</v>
      </c>
      <c r="E239" s="3">
        <v>1116995633</v>
      </c>
      <c r="F239" s="3" t="str" cm="1">
        <f t="array" ref="F239">_xlfn.IFS(STREAMS_STATS[[#This Row],[Streams]] &gt;= 1000000000, "1B+", STREAMS_STATS[[#This Row],[Streams]] &gt;= 500000000, "500M–1B", STREAMS_STATS[[#This Row],[Streams]] &gt;= 250000000, "250M–500M", TRUE, "Under 250M")</f>
        <v>1B+</v>
      </c>
      <c r="G239" s="1">
        <v>10114</v>
      </c>
      <c r="H239" s="1">
        <v>79</v>
      </c>
      <c r="I239" s="1">
        <v>54</v>
      </c>
      <c r="J239" s="1">
        <v>22898</v>
      </c>
      <c r="K239" s="1">
        <v>54</v>
      </c>
      <c r="L239" s="1">
        <v>4076</v>
      </c>
      <c r="M239" s="1">
        <v>44</v>
      </c>
      <c r="N239" s="1">
        <v>31168</v>
      </c>
      <c r="O239" s="1">
        <v>311</v>
      </c>
      <c r="P239" s="2">
        <f>SUM(STREAMS_STATS[[#This Row],[In Spotify Playlists]],STREAMS_STATS[[#This Row],[In Apple Playlists]],STREAMS_STATS[[#This Row],[In Deezer Playlists]],STREAMS_STATS[[#This Row],[In YouTube Playlists]])</f>
        <v>68256</v>
      </c>
      <c r="Q239" s="1">
        <v>170</v>
      </c>
      <c r="R239" s="1">
        <v>-5</v>
      </c>
      <c r="S239" s="1" t="s">
        <v>68</v>
      </c>
      <c r="T239" s="1">
        <v>70</v>
      </c>
      <c r="U239" s="1">
        <v>38</v>
      </c>
      <c r="V239" s="1">
        <v>11</v>
      </c>
      <c r="W239" s="1">
        <v>30</v>
      </c>
      <c r="X239" s="1">
        <v>209</v>
      </c>
      <c r="Y239" s="5">
        <f>STREAMS_STATS[[#This Row],[Duration]]/60</f>
        <v>3.4833333333333334</v>
      </c>
      <c r="Z239" s="1">
        <v>14</v>
      </c>
      <c r="AA239" s="1">
        <v>9</v>
      </c>
      <c r="AB239" s="1">
        <v>77</v>
      </c>
    </row>
    <row r="240" spans="1:28">
      <c r="A240" t="s">
        <v>440</v>
      </c>
      <c r="B240" s="1" t="s">
        <v>33</v>
      </c>
      <c r="C240" s="1" t="s">
        <v>134</v>
      </c>
      <c r="D240" s="1">
        <v>2018</v>
      </c>
      <c r="E240" s="3">
        <v>1813673666</v>
      </c>
      <c r="F240" s="3" t="str" cm="1">
        <f t="array" ref="F240">_xlfn.IFS(STREAMS_STATS[[#This Row],[Streams]] &gt;= 1000000000, "1B+", STREAMS_STATS[[#This Row],[Streams]] &gt;= 500000000, "500M–1B", STREAMS_STATS[[#This Row],[Streams]] &gt;= 250000000, "250M–500M", TRUE, "Under 250M")</f>
        <v>1B+</v>
      </c>
      <c r="G240" s="1">
        <v>23389</v>
      </c>
      <c r="H240" s="1">
        <v>19</v>
      </c>
      <c r="I240" s="1">
        <v>61</v>
      </c>
      <c r="J240" s="1">
        <v>38046</v>
      </c>
      <c r="K240" s="1">
        <v>61</v>
      </c>
      <c r="L240" s="1">
        <v>259</v>
      </c>
      <c r="M240" s="1">
        <v>14</v>
      </c>
      <c r="N240" s="1">
        <v>38937</v>
      </c>
      <c r="O240" s="1">
        <v>98</v>
      </c>
      <c r="P240" s="2">
        <f>SUM(STREAMS_STATS[[#This Row],[In Spotify Playlists]],STREAMS_STATS[[#This Row],[In Apple Playlists]],STREAMS_STATS[[#This Row],[In Deezer Playlists]],STREAMS_STATS[[#This Row],[In YouTube Playlists]])</f>
        <v>100631</v>
      </c>
      <c r="Q240" s="1">
        <v>140</v>
      </c>
      <c r="R240" s="1">
        <v>-7</v>
      </c>
      <c r="S240" s="1" t="s">
        <v>75</v>
      </c>
      <c r="T240" s="1">
        <v>71</v>
      </c>
      <c r="U240" s="1">
        <v>62</v>
      </c>
      <c r="V240" s="1">
        <v>13</v>
      </c>
      <c r="W240" s="1">
        <v>49</v>
      </c>
      <c r="X240" s="1">
        <v>211</v>
      </c>
      <c r="Y240" s="5">
        <f>STREAMS_STATS[[#This Row],[Duration]]/60</f>
        <v>3.5166666666666666</v>
      </c>
      <c r="Z240" s="1">
        <v>6</v>
      </c>
      <c r="AA240" s="1">
        <v>7</v>
      </c>
      <c r="AB240" s="1">
        <v>83</v>
      </c>
    </row>
    <row r="241" spans="1:28">
      <c r="A241" t="s">
        <v>441</v>
      </c>
      <c r="B241" s="1" t="s">
        <v>442</v>
      </c>
      <c r="C241" s="1" t="s">
        <v>105</v>
      </c>
      <c r="D241" s="1">
        <v>2016</v>
      </c>
      <c r="E241" s="3">
        <v>1606986953</v>
      </c>
      <c r="F241" s="3" t="str" cm="1">
        <f t="array" ref="F241">_xlfn.IFS(STREAMS_STATS[[#This Row],[Streams]] &gt;= 1000000000, "1B+", STREAMS_STATS[[#This Row],[Streams]] &gt;= 500000000, "500M–1B", STREAMS_STATS[[#This Row],[Streams]] &gt;= 250000000, "250M–500M", TRUE, "Under 250M")</f>
        <v>1B+</v>
      </c>
      <c r="G241" s="1">
        <v>19067</v>
      </c>
      <c r="H241" s="1">
        <v>46</v>
      </c>
      <c r="I241" s="1">
        <v>5</v>
      </c>
      <c r="J241" s="1">
        <v>30993</v>
      </c>
      <c r="K241" s="1">
        <v>5</v>
      </c>
      <c r="L241" s="1">
        <v>12</v>
      </c>
      <c r="M241" s="1">
        <v>18</v>
      </c>
      <c r="N241" s="1">
        <v>13229</v>
      </c>
      <c r="O241" s="1">
        <v>133</v>
      </c>
      <c r="P241" s="2">
        <f>SUM(STREAMS_STATS[[#This Row],[In Spotify Playlists]],STREAMS_STATS[[#This Row],[In Apple Playlists]],STREAMS_STATS[[#This Row],[In Deezer Playlists]],STREAMS_STATS[[#This Row],[In YouTube Playlists]])</f>
        <v>63301</v>
      </c>
      <c r="Q241" s="1">
        <v>134</v>
      </c>
      <c r="R241" s="1">
        <v>-6</v>
      </c>
      <c r="S241" s="1" t="s">
        <v>68</v>
      </c>
      <c r="T241" s="1">
        <v>52</v>
      </c>
      <c r="U241" s="1">
        <v>50</v>
      </c>
      <c r="V241" s="1">
        <v>45</v>
      </c>
      <c r="W241" s="1">
        <v>17</v>
      </c>
      <c r="X241" s="1">
        <v>196</v>
      </c>
      <c r="Y241" s="5">
        <f>STREAMS_STATS[[#This Row],[Duration]]/60</f>
        <v>3.2666666666666666</v>
      </c>
      <c r="Z241" s="1">
        <v>11</v>
      </c>
      <c r="AA241" s="1">
        <v>4</v>
      </c>
      <c r="AB241" s="1">
        <v>81</v>
      </c>
    </row>
    <row r="242" spans="1:28">
      <c r="A242" t="s">
        <v>443</v>
      </c>
      <c r="B242" s="1" t="s">
        <v>256</v>
      </c>
      <c r="C242" s="1" t="s">
        <v>67</v>
      </c>
      <c r="D242" s="1">
        <v>2017</v>
      </c>
      <c r="E242" s="3">
        <v>261286503</v>
      </c>
      <c r="F242" s="3" t="str" cm="1">
        <f t="array" ref="F24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42" s="1">
        <v>1936</v>
      </c>
      <c r="H242" s="1">
        <v>175</v>
      </c>
      <c r="I242" s="1">
        <v>25</v>
      </c>
      <c r="J242" s="1">
        <v>16202</v>
      </c>
      <c r="K242" s="1">
        <v>25</v>
      </c>
      <c r="L242" s="1">
        <v>61</v>
      </c>
      <c r="M242" s="1">
        <v>7</v>
      </c>
      <c r="N242" s="1">
        <v>7209</v>
      </c>
      <c r="O242" s="1">
        <v>73</v>
      </c>
      <c r="P242" s="2">
        <f>SUM(STREAMS_STATS[[#This Row],[In Spotify Playlists]],STREAMS_STATS[[#This Row],[In Apple Playlists]],STREAMS_STATS[[#This Row],[In Deezer Playlists]],STREAMS_STATS[[#This Row],[In YouTube Playlists]])</f>
        <v>25408</v>
      </c>
      <c r="Q242" s="1">
        <v>105</v>
      </c>
      <c r="R242" s="1">
        <v>-10</v>
      </c>
      <c r="S242" s="1" t="s">
        <v>75</v>
      </c>
      <c r="T242" s="1">
        <v>59</v>
      </c>
      <c r="U242" s="1">
        <v>77</v>
      </c>
      <c r="V242" s="1">
        <v>11</v>
      </c>
      <c r="W242" s="1">
        <v>33</v>
      </c>
      <c r="X242" s="1">
        <v>225</v>
      </c>
      <c r="Y242" s="5">
        <f>STREAMS_STATS[[#This Row],[Duration]]/60</f>
        <v>3.75</v>
      </c>
      <c r="Z242" s="1">
        <v>10</v>
      </c>
      <c r="AA242" s="1">
        <v>5</v>
      </c>
      <c r="AB242" s="1">
        <v>54</v>
      </c>
    </row>
    <row r="243" spans="1:28">
      <c r="A243" t="s">
        <v>444</v>
      </c>
      <c r="B243" s="1" t="s">
        <v>226</v>
      </c>
      <c r="C243" s="1" t="s">
        <v>67</v>
      </c>
      <c r="D243" s="1">
        <v>2012</v>
      </c>
      <c r="E243" s="3">
        <v>677389855</v>
      </c>
      <c r="F243" s="3" t="str" cm="1">
        <f t="array" ref="F24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43" s="1">
        <v>5728</v>
      </c>
      <c r="H243" s="1">
        <v>266</v>
      </c>
      <c r="I243" s="1">
        <v>134</v>
      </c>
      <c r="J243" s="1">
        <v>14791</v>
      </c>
      <c r="K243" s="1">
        <v>85</v>
      </c>
      <c r="L243" s="1">
        <v>763</v>
      </c>
      <c r="M243" s="1">
        <v>78</v>
      </c>
      <c r="N243" s="1">
        <v>39552</v>
      </c>
      <c r="O243" s="1">
        <v>49</v>
      </c>
      <c r="P243" s="2">
        <f>SUM(STREAMS_STATS[[#This Row],[In Spotify Playlists]],STREAMS_STATS[[#This Row],[In Apple Playlists]],STREAMS_STATS[[#This Row],[In Deezer Playlists]],STREAMS_STATS[[#This Row],[In YouTube Playlists]])</f>
        <v>60834</v>
      </c>
      <c r="Q243" s="1">
        <v>120</v>
      </c>
      <c r="R243" s="1">
        <v>-3</v>
      </c>
      <c r="S243" s="1" t="s">
        <v>68</v>
      </c>
      <c r="T243" s="1">
        <v>86</v>
      </c>
      <c r="U243" s="1">
        <v>67</v>
      </c>
      <c r="V243" s="1">
        <v>34</v>
      </c>
      <c r="W243" s="1">
        <v>65</v>
      </c>
      <c r="X243" s="1">
        <v>227</v>
      </c>
      <c r="Y243" s="5">
        <f>STREAMS_STATS[[#This Row],[Duration]]/60</f>
        <v>3.7833333333333332</v>
      </c>
      <c r="Z243" s="1">
        <v>1</v>
      </c>
      <c r="AA243" s="1">
        <v>5</v>
      </c>
      <c r="AB243" s="1">
        <v>72</v>
      </c>
    </row>
    <row r="244" spans="1:28">
      <c r="A244" t="s">
        <v>445</v>
      </c>
      <c r="B244" s="1" t="s">
        <v>40</v>
      </c>
      <c r="C244" s="1" t="s">
        <v>67</v>
      </c>
      <c r="D244" s="1">
        <v>2016</v>
      </c>
      <c r="E244" s="3">
        <v>1456081449</v>
      </c>
      <c r="F244" s="3" t="str" cm="1">
        <f t="array" ref="F244">_xlfn.IFS(STREAMS_STATS[[#This Row],[Streams]] &gt;= 1000000000, "1B+", STREAMS_STATS[[#This Row],[Streams]] &gt;= 500000000, "500M–1B", STREAMS_STATS[[#This Row],[Streams]] &gt;= 250000000, "250M–500M", TRUE, "Under 250M")</f>
        <v>1B+</v>
      </c>
      <c r="G244" s="1">
        <v>17050</v>
      </c>
      <c r="H244" s="1">
        <v>32</v>
      </c>
      <c r="I244" s="1">
        <v>66</v>
      </c>
      <c r="J244" s="1">
        <v>9424</v>
      </c>
      <c r="K244" s="1">
        <v>66</v>
      </c>
      <c r="L244" s="2">
        <v>1145</v>
      </c>
      <c r="M244" s="1">
        <v>2</v>
      </c>
      <c r="N244" s="1">
        <v>20893</v>
      </c>
      <c r="O244" s="1">
        <v>273</v>
      </c>
      <c r="P244" s="2">
        <f>SUM(STREAMS_STATS[[#This Row],[In Spotify Playlists]],STREAMS_STATS[[#This Row],[In Apple Playlists]],STREAMS_STATS[[#This Row],[In Deezer Playlists]],STREAMS_STATS[[#This Row],[In YouTube Playlists]])</f>
        <v>48512</v>
      </c>
      <c r="Q244" s="1">
        <v>108</v>
      </c>
      <c r="R244" s="1">
        <v>-6</v>
      </c>
      <c r="S244" s="1" t="s">
        <v>68</v>
      </c>
      <c r="T244" s="1">
        <v>73</v>
      </c>
      <c r="U244" s="1">
        <v>62</v>
      </c>
      <c r="V244" s="1">
        <v>14</v>
      </c>
      <c r="W244" s="1">
        <v>37</v>
      </c>
      <c r="X244" s="1">
        <v>244</v>
      </c>
      <c r="Y244" s="5">
        <f>STREAMS_STATS[[#This Row],[Duration]]/60</f>
        <v>4.0666666666666664</v>
      </c>
      <c r="Z244" s="1">
        <v>2</v>
      </c>
      <c r="AA244" s="1">
        <v>11</v>
      </c>
      <c r="AB244" s="1">
        <v>80</v>
      </c>
    </row>
    <row r="245" spans="1:28">
      <c r="A245" t="s">
        <v>446</v>
      </c>
      <c r="B245" s="1" t="s">
        <v>95</v>
      </c>
      <c r="C245" s="1" t="s">
        <v>67</v>
      </c>
      <c r="D245" s="1">
        <v>2011</v>
      </c>
      <c r="E245" s="3">
        <v>207033255</v>
      </c>
      <c r="F245" s="3" t="str" cm="1">
        <f t="array" ref="F245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45" s="1">
        <v>1456</v>
      </c>
      <c r="H245" s="1">
        <v>366</v>
      </c>
      <c r="I245" s="1">
        <v>252</v>
      </c>
      <c r="J245" s="1">
        <v>7503</v>
      </c>
      <c r="K245" s="1">
        <v>50</v>
      </c>
      <c r="L245" s="1">
        <v>8243</v>
      </c>
      <c r="M245" s="1">
        <v>74</v>
      </c>
      <c r="N245" s="1">
        <v>5126</v>
      </c>
      <c r="O245" s="1">
        <v>2</v>
      </c>
      <c r="P245" s="2">
        <f>SUM(STREAMS_STATS[[#This Row],[In Spotify Playlists]],STREAMS_STATS[[#This Row],[In Apple Playlists]],STREAMS_STATS[[#This Row],[In Deezer Playlists]],STREAMS_STATS[[#This Row],[In YouTube Playlists]])</f>
        <v>22328</v>
      </c>
      <c r="Q245" s="1">
        <v>129</v>
      </c>
      <c r="R245" s="1">
        <v>-4</v>
      </c>
      <c r="S245" s="1" t="s">
        <v>75</v>
      </c>
      <c r="T245" s="1">
        <v>88</v>
      </c>
      <c r="U245" s="1">
        <v>73</v>
      </c>
      <c r="V245" s="1">
        <v>32</v>
      </c>
      <c r="W245" s="1">
        <v>69</v>
      </c>
      <c r="X245" s="1">
        <v>201</v>
      </c>
      <c r="Y245" s="5">
        <f>STREAMS_STATS[[#This Row],[Duration]]/60</f>
        <v>3.35</v>
      </c>
      <c r="Z245" s="1">
        <v>2</v>
      </c>
      <c r="AA245" s="1">
        <v>7</v>
      </c>
      <c r="AB245" s="1">
        <v>31</v>
      </c>
    </row>
    <row r="246" spans="1:28">
      <c r="A246" t="s">
        <v>447</v>
      </c>
      <c r="B246" s="1" t="s">
        <v>66</v>
      </c>
      <c r="C246" s="1" t="s">
        <v>67</v>
      </c>
      <c r="D246" s="1">
        <v>2016</v>
      </c>
      <c r="E246" s="3">
        <v>227918678</v>
      </c>
      <c r="F246" s="3" t="str" cm="1">
        <f t="array" ref="F24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46" s="1">
        <v>1601</v>
      </c>
      <c r="H246" s="1">
        <v>143</v>
      </c>
      <c r="I246" s="1">
        <v>116</v>
      </c>
      <c r="J246" s="1">
        <v>941</v>
      </c>
      <c r="K246" s="1">
        <v>116</v>
      </c>
      <c r="L246" s="1">
        <v>355</v>
      </c>
      <c r="M246" s="1">
        <v>7</v>
      </c>
      <c r="N246" s="1">
        <v>36246</v>
      </c>
      <c r="O246" s="1">
        <v>157</v>
      </c>
      <c r="P246" s="2">
        <f>SUM(STREAMS_STATS[[#This Row],[In Spotify Playlists]],STREAMS_STATS[[#This Row],[In Apple Playlists]],STREAMS_STATS[[#This Row],[In Deezer Playlists]],STREAMS_STATS[[#This Row],[In YouTube Playlists]])</f>
        <v>39143</v>
      </c>
      <c r="Q246" s="1">
        <v>112</v>
      </c>
      <c r="R246" s="1">
        <v>-7</v>
      </c>
      <c r="S246" s="1" t="s">
        <v>75</v>
      </c>
      <c r="T246" s="1">
        <v>65</v>
      </c>
      <c r="U246" s="1">
        <v>37</v>
      </c>
      <c r="V246" s="1">
        <v>9</v>
      </c>
      <c r="W246" s="1">
        <v>16</v>
      </c>
      <c r="X246" s="1">
        <v>200</v>
      </c>
      <c r="Y246" s="5">
        <f>STREAMS_STATS[[#This Row],[Duration]]/60</f>
        <v>3.3333333333333335</v>
      </c>
      <c r="Z246" s="1">
        <v>3</v>
      </c>
      <c r="AA246" s="1">
        <v>11</v>
      </c>
      <c r="AB246" s="1">
        <v>44</v>
      </c>
    </row>
    <row r="247" spans="1:28">
      <c r="A247" t="s">
        <v>448</v>
      </c>
      <c r="B247" s="1" t="s">
        <v>339</v>
      </c>
      <c r="C247" s="1" t="s">
        <v>19</v>
      </c>
      <c r="D247" s="1">
        <v>2017</v>
      </c>
      <c r="E247" s="3">
        <v>1284942608</v>
      </c>
      <c r="F247" s="3" t="str" cm="1">
        <f t="array" ref="F247">_xlfn.IFS(STREAMS_STATS[[#This Row],[Streams]] &gt;= 1000000000, "1B+", STREAMS_STATS[[#This Row],[Streams]] &gt;= 500000000, "500M–1B", STREAMS_STATS[[#This Row],[Streams]] &gt;= 250000000, "250M–500M", TRUE, "Under 250M")</f>
        <v>1B+</v>
      </c>
      <c r="G247" s="1">
        <v>13387</v>
      </c>
      <c r="H247" s="1">
        <v>60</v>
      </c>
      <c r="I247" s="1">
        <v>122</v>
      </c>
      <c r="J247" s="1">
        <v>38578</v>
      </c>
      <c r="K247" s="1">
        <v>122</v>
      </c>
      <c r="L247" s="2">
        <v>1282</v>
      </c>
      <c r="M247" s="1">
        <v>24</v>
      </c>
      <c r="N247" s="1">
        <v>36788</v>
      </c>
      <c r="O247" s="1">
        <v>210</v>
      </c>
      <c r="P247" s="2">
        <f>SUM(STREAMS_STATS[[#This Row],[In Spotify Playlists]],STREAMS_STATS[[#This Row],[In Apple Playlists]],STREAMS_STATS[[#This Row],[In Deezer Playlists]],STREAMS_STATS[[#This Row],[In YouTube Playlists]])</f>
        <v>90035</v>
      </c>
      <c r="Q247" s="1">
        <v>100</v>
      </c>
      <c r="R247" s="1">
        <v>-7</v>
      </c>
      <c r="S247" s="1" t="s">
        <v>75</v>
      </c>
      <c r="T247" s="1">
        <v>53</v>
      </c>
      <c r="U247" s="1">
        <v>64</v>
      </c>
      <c r="V247" s="1">
        <v>9</v>
      </c>
      <c r="W247" s="1">
        <v>52</v>
      </c>
      <c r="X247" s="1">
        <v>221</v>
      </c>
      <c r="Y247" s="5">
        <f>STREAMS_STATS[[#This Row],[Duration]]/60</f>
        <v>3.6833333333333331</v>
      </c>
      <c r="Z247" s="1">
        <v>12</v>
      </c>
      <c r="AA247" s="1">
        <v>7</v>
      </c>
      <c r="AB247" s="1">
        <v>79</v>
      </c>
    </row>
    <row r="248" spans="1:28">
      <c r="A248" t="s">
        <v>449</v>
      </c>
      <c r="B248" s="1" t="s">
        <v>38</v>
      </c>
      <c r="C248" s="1" t="s">
        <v>25</v>
      </c>
      <c r="D248" s="1">
        <v>2012</v>
      </c>
      <c r="E248" s="3">
        <v>217672943</v>
      </c>
      <c r="F248" s="3" t="str" cm="1">
        <f t="array" ref="F24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48" s="1">
        <v>1507</v>
      </c>
      <c r="H248" s="1">
        <v>129</v>
      </c>
      <c r="I248" s="1">
        <v>37</v>
      </c>
      <c r="J248" s="1">
        <v>36267</v>
      </c>
      <c r="K248" s="1">
        <v>100</v>
      </c>
      <c r="L248" s="1">
        <v>7964</v>
      </c>
      <c r="M248" s="1">
        <v>126</v>
      </c>
      <c r="N248" s="1">
        <v>13464</v>
      </c>
      <c r="O248" s="1">
        <v>68</v>
      </c>
      <c r="P248" s="2">
        <f>SUM(STREAMS_STATS[[#This Row],[In Spotify Playlists]],STREAMS_STATS[[#This Row],[In Apple Playlists]],STREAMS_STATS[[#This Row],[In Deezer Playlists]],STREAMS_STATS[[#This Row],[In YouTube Playlists]])</f>
        <v>59202</v>
      </c>
      <c r="Q248" s="1">
        <v>150</v>
      </c>
      <c r="R248" s="1">
        <v>-7</v>
      </c>
      <c r="S248" s="1" t="s">
        <v>68</v>
      </c>
      <c r="T248" s="1">
        <v>84</v>
      </c>
      <c r="U248" s="1">
        <v>58</v>
      </c>
      <c r="V248" s="1">
        <v>8</v>
      </c>
      <c r="W248" s="1">
        <v>48</v>
      </c>
      <c r="X248" s="1">
        <v>258</v>
      </c>
      <c r="Y248" s="5">
        <f>STREAMS_STATS[[#This Row],[Duration]]/60</f>
        <v>4.3</v>
      </c>
      <c r="Z248" s="1">
        <v>34</v>
      </c>
      <c r="AA248" s="1">
        <v>5</v>
      </c>
      <c r="AB248" s="1">
        <v>96</v>
      </c>
    </row>
    <row r="249" spans="1:28">
      <c r="A249" t="s">
        <v>450</v>
      </c>
      <c r="B249" s="1" t="s">
        <v>283</v>
      </c>
      <c r="C249" s="1" t="s">
        <v>284</v>
      </c>
      <c r="D249" s="1">
        <v>2014</v>
      </c>
      <c r="E249" s="3">
        <v>203680270</v>
      </c>
      <c r="F249" s="3" t="str" cm="1">
        <f t="array" ref="F249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49" s="1">
        <v>1446</v>
      </c>
      <c r="H249" s="1">
        <v>247</v>
      </c>
      <c r="I249" s="1">
        <v>96</v>
      </c>
      <c r="J249" s="1">
        <v>28827</v>
      </c>
      <c r="K249" s="1">
        <v>96</v>
      </c>
      <c r="L249" s="2">
        <v>1078</v>
      </c>
      <c r="M249" s="1">
        <v>2</v>
      </c>
      <c r="N249" s="1">
        <v>29552</v>
      </c>
      <c r="O249" s="1">
        <v>325</v>
      </c>
      <c r="P249" s="2">
        <f>SUM(STREAMS_STATS[[#This Row],[In Spotify Playlists]],STREAMS_STATS[[#This Row],[In Apple Playlists]],STREAMS_STATS[[#This Row],[In Deezer Playlists]],STREAMS_STATS[[#This Row],[In YouTube Playlists]])</f>
        <v>60903</v>
      </c>
      <c r="Q249" s="1">
        <v>110</v>
      </c>
      <c r="R249" s="1">
        <v>-9</v>
      </c>
      <c r="S249" s="1" t="s">
        <v>75</v>
      </c>
      <c r="T249" s="1">
        <v>54</v>
      </c>
      <c r="U249" s="1">
        <v>64</v>
      </c>
      <c r="V249" s="1">
        <v>25</v>
      </c>
      <c r="W249" s="1">
        <v>53</v>
      </c>
      <c r="X249" s="1">
        <v>230</v>
      </c>
      <c r="Y249" s="5">
        <f>STREAMS_STATS[[#This Row],[Duration]]/60</f>
        <v>3.8333333333333335</v>
      </c>
      <c r="Z249" s="1">
        <v>10</v>
      </c>
      <c r="AA249" s="1">
        <v>11</v>
      </c>
      <c r="AB249" s="1">
        <v>92</v>
      </c>
    </row>
    <row r="250" spans="1:28">
      <c r="A250" t="s">
        <v>451</v>
      </c>
      <c r="B250" s="1" t="s">
        <v>91</v>
      </c>
      <c r="C250" s="1" t="s">
        <v>67</v>
      </c>
      <c r="D250" s="1">
        <v>2011</v>
      </c>
      <c r="E250" s="3">
        <v>244891912</v>
      </c>
      <c r="F250" s="3" t="str" cm="1">
        <f t="array" ref="F25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50" s="1">
        <v>1783</v>
      </c>
      <c r="H250" s="1">
        <v>232</v>
      </c>
      <c r="I250" s="1">
        <v>341</v>
      </c>
      <c r="J250" s="1">
        <v>25333</v>
      </c>
      <c r="K250" s="1">
        <v>94</v>
      </c>
      <c r="L250" s="1">
        <v>3586</v>
      </c>
      <c r="M250" s="1">
        <v>134</v>
      </c>
      <c r="N250" s="1">
        <v>24998</v>
      </c>
      <c r="O250" s="1">
        <v>120</v>
      </c>
      <c r="P250" s="2">
        <f>SUM(STREAMS_STATS[[#This Row],[In Spotify Playlists]],STREAMS_STATS[[#This Row],[In Apple Playlists]],STREAMS_STATS[[#This Row],[In Deezer Playlists]],STREAMS_STATS[[#This Row],[In YouTube Playlists]])</f>
        <v>55700</v>
      </c>
      <c r="Q250" s="1">
        <v>75</v>
      </c>
      <c r="R250" s="1">
        <v>-6</v>
      </c>
      <c r="S250" s="1" t="s">
        <v>75</v>
      </c>
      <c r="T250" s="1">
        <v>35</v>
      </c>
      <c r="U250" s="1">
        <v>35</v>
      </c>
      <c r="V250" s="1">
        <v>12</v>
      </c>
      <c r="W250" s="1">
        <v>9</v>
      </c>
      <c r="X250" s="1">
        <v>247</v>
      </c>
      <c r="Y250" s="5">
        <f>STREAMS_STATS[[#This Row],[Duration]]/60</f>
        <v>4.1166666666666663</v>
      </c>
      <c r="Z250" s="1">
        <v>73</v>
      </c>
      <c r="AA250" s="1">
        <v>3</v>
      </c>
      <c r="AB250" s="1">
        <v>85</v>
      </c>
    </row>
    <row r="251" spans="1:28">
      <c r="A251" t="s">
        <v>452</v>
      </c>
      <c r="B251" s="1" t="s">
        <v>229</v>
      </c>
      <c r="C251" s="1" t="s">
        <v>67</v>
      </c>
      <c r="D251" s="1">
        <v>2015</v>
      </c>
      <c r="E251" s="3">
        <v>556585270</v>
      </c>
      <c r="F251" s="3" t="str" cm="1">
        <f t="array" ref="F25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51" s="1">
        <v>4531</v>
      </c>
      <c r="H251" s="1">
        <v>307</v>
      </c>
      <c r="I251" s="1">
        <v>121</v>
      </c>
      <c r="J251" s="1">
        <v>10277</v>
      </c>
      <c r="K251" s="1">
        <v>121</v>
      </c>
      <c r="L251" s="2">
        <v>2969</v>
      </c>
      <c r="M251" s="1">
        <v>10</v>
      </c>
      <c r="N251" s="1">
        <v>30520</v>
      </c>
      <c r="O251" s="1">
        <v>165</v>
      </c>
      <c r="P251" s="2">
        <f>SUM(STREAMS_STATS[[#This Row],[In Spotify Playlists]],STREAMS_STATS[[#This Row],[In Apple Playlists]],STREAMS_STATS[[#This Row],[In Deezer Playlists]],STREAMS_STATS[[#This Row],[In YouTube Playlists]])</f>
        <v>48297</v>
      </c>
      <c r="Q251" s="1">
        <v>93</v>
      </c>
      <c r="R251" s="1">
        <v>-4</v>
      </c>
      <c r="S251" s="1" t="s">
        <v>75</v>
      </c>
      <c r="T251" s="1">
        <v>71</v>
      </c>
      <c r="U251" s="1">
        <v>68</v>
      </c>
      <c r="V251" s="1">
        <v>44</v>
      </c>
      <c r="W251" s="1">
        <v>45</v>
      </c>
      <c r="X251" s="1">
        <v>222</v>
      </c>
      <c r="Y251" s="5">
        <f>STREAMS_STATS[[#This Row],[Duration]]/60</f>
        <v>3.7</v>
      </c>
      <c r="Z251" s="1">
        <v>1</v>
      </c>
      <c r="AA251" s="1">
        <v>8</v>
      </c>
      <c r="AB251" s="1">
        <v>81</v>
      </c>
    </row>
    <row r="252" spans="1:28">
      <c r="A252" t="s">
        <v>453</v>
      </c>
      <c r="B252" s="1" t="s">
        <v>97</v>
      </c>
      <c r="C252" s="1" t="s">
        <v>67</v>
      </c>
      <c r="D252" s="1">
        <v>2011</v>
      </c>
      <c r="E252" s="3">
        <v>349585590</v>
      </c>
      <c r="F252" s="3" t="str" cm="1">
        <f t="array" ref="F25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52" s="1">
        <v>2699</v>
      </c>
      <c r="H252" s="1">
        <v>287</v>
      </c>
      <c r="I252" s="1">
        <v>342</v>
      </c>
      <c r="J252" s="1">
        <v>6489</v>
      </c>
      <c r="K252" s="1">
        <v>84</v>
      </c>
      <c r="L252" s="1">
        <v>6698</v>
      </c>
      <c r="M252" s="1">
        <v>109</v>
      </c>
      <c r="N252" s="1">
        <v>30892</v>
      </c>
      <c r="O252" s="1">
        <v>258</v>
      </c>
      <c r="P252" s="2">
        <f>SUM(STREAMS_STATS[[#This Row],[In Spotify Playlists]],STREAMS_STATS[[#This Row],[In Apple Playlists]],STREAMS_STATS[[#This Row],[In Deezer Playlists]],STREAMS_STATS[[#This Row],[In YouTube Playlists]])</f>
        <v>46778</v>
      </c>
      <c r="Q252" s="1">
        <v>131</v>
      </c>
      <c r="R252" s="1">
        <v>-4</v>
      </c>
      <c r="S252" s="1" t="s">
        <v>68</v>
      </c>
      <c r="T252" s="1">
        <v>93</v>
      </c>
      <c r="U252" s="1">
        <v>66</v>
      </c>
      <c r="V252" s="1">
        <v>27</v>
      </c>
      <c r="W252" s="1">
        <v>53</v>
      </c>
      <c r="X252" s="1">
        <v>249</v>
      </c>
      <c r="Y252" s="5">
        <f>STREAMS_STATS[[#This Row],[Duration]]/60</f>
        <v>4.1500000000000004</v>
      </c>
      <c r="Z252" s="1">
        <v>0</v>
      </c>
      <c r="AA252" s="1">
        <v>7</v>
      </c>
      <c r="AB252" s="1">
        <v>66</v>
      </c>
    </row>
    <row r="253" spans="1:28">
      <c r="A253" t="s">
        <v>454</v>
      </c>
      <c r="B253" s="1" t="s">
        <v>437</v>
      </c>
      <c r="C253" s="1" t="s">
        <v>67</v>
      </c>
      <c r="D253" s="1">
        <v>2011</v>
      </c>
      <c r="E253" s="3">
        <v>609293408</v>
      </c>
      <c r="F253" s="3" t="str" cm="1">
        <f t="array" ref="F25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53" s="1">
        <v>4999</v>
      </c>
      <c r="H253" s="1">
        <v>109</v>
      </c>
      <c r="I253" s="1">
        <v>105</v>
      </c>
      <c r="J253" s="1">
        <v>8211</v>
      </c>
      <c r="K253" s="1">
        <v>95</v>
      </c>
      <c r="L253" s="1">
        <v>5671</v>
      </c>
      <c r="M253" s="1">
        <v>185</v>
      </c>
      <c r="N253" s="1">
        <v>24166</v>
      </c>
      <c r="O253" s="1">
        <v>4</v>
      </c>
      <c r="P253" s="2">
        <f>SUM(STREAMS_STATS[[#This Row],[In Spotify Playlists]],STREAMS_STATS[[#This Row],[In Apple Playlists]],STREAMS_STATS[[#This Row],[In Deezer Playlists]],STREAMS_STATS[[#This Row],[In YouTube Playlists]])</f>
        <v>43047</v>
      </c>
      <c r="Q253" s="1">
        <v>94</v>
      </c>
      <c r="R253" s="1">
        <v>-9</v>
      </c>
      <c r="S253" s="1" t="s">
        <v>75</v>
      </c>
      <c r="T253" s="1">
        <v>63</v>
      </c>
      <c r="U253" s="1">
        <v>66</v>
      </c>
      <c r="V253" s="1">
        <v>11</v>
      </c>
      <c r="W253" s="1">
        <v>26</v>
      </c>
      <c r="X253" s="1">
        <v>219</v>
      </c>
      <c r="Y253" s="5">
        <f>STREAMS_STATS[[#This Row],[Duration]]/60</f>
        <v>3.65</v>
      </c>
      <c r="Z253" s="1">
        <v>19</v>
      </c>
      <c r="AA253" s="1">
        <v>18</v>
      </c>
      <c r="AB253" s="1">
        <v>83</v>
      </c>
    </row>
    <row r="254" spans="1:28">
      <c r="A254" t="s">
        <v>455</v>
      </c>
      <c r="B254" s="1" t="s">
        <v>169</v>
      </c>
      <c r="C254" s="1" t="s">
        <v>67</v>
      </c>
      <c r="D254" s="1">
        <v>2013</v>
      </c>
      <c r="E254" s="3">
        <v>1661187319</v>
      </c>
      <c r="F254" s="3" t="str" cm="1">
        <f t="array" ref="F254">_xlfn.IFS(STREAMS_STATS[[#This Row],[Streams]] &gt;= 1000000000, "1B+", STREAMS_STATS[[#This Row],[Streams]] &gt;= 500000000, "500M–1B", STREAMS_STATS[[#This Row],[Streams]] &gt;= 250000000, "250M–500M", TRUE, "Under 250M")</f>
        <v>1B+</v>
      </c>
      <c r="G254" s="1">
        <v>20763</v>
      </c>
      <c r="H254" s="1">
        <v>21</v>
      </c>
      <c r="I254" s="1">
        <v>29</v>
      </c>
      <c r="J254" s="1">
        <v>780</v>
      </c>
      <c r="K254" s="1">
        <v>29</v>
      </c>
      <c r="L254" s="1">
        <v>14</v>
      </c>
      <c r="M254" s="1">
        <v>22</v>
      </c>
      <c r="N254" s="1">
        <v>34429</v>
      </c>
      <c r="O254" s="1">
        <v>271</v>
      </c>
      <c r="P254" s="2">
        <f>SUM(STREAMS_STATS[[#This Row],[In Spotify Playlists]],STREAMS_STATS[[#This Row],[In Apple Playlists]],STREAMS_STATS[[#This Row],[In Deezer Playlists]],STREAMS_STATS[[#This Row],[In YouTube Playlists]])</f>
        <v>55986</v>
      </c>
      <c r="Q254" s="1">
        <v>95</v>
      </c>
      <c r="R254" s="1">
        <v>-7</v>
      </c>
      <c r="S254" s="1" t="s">
        <v>68</v>
      </c>
      <c r="T254" s="1">
        <v>55</v>
      </c>
      <c r="U254" s="1">
        <v>78</v>
      </c>
      <c r="V254" s="1">
        <v>13</v>
      </c>
      <c r="W254" s="1">
        <v>44</v>
      </c>
      <c r="X254" s="1">
        <v>243</v>
      </c>
      <c r="Y254" s="5">
        <f>STREAMS_STATS[[#This Row],[Duration]]/60</f>
        <v>4.05</v>
      </c>
      <c r="Z254" s="1">
        <v>35</v>
      </c>
      <c r="AA254" s="1">
        <v>5</v>
      </c>
      <c r="AB254" s="1">
        <v>84</v>
      </c>
    </row>
    <row r="255" spans="1:28">
      <c r="A255" t="s">
        <v>456</v>
      </c>
      <c r="B255" s="1" t="s">
        <v>169</v>
      </c>
      <c r="C255" s="1" t="s">
        <v>67</v>
      </c>
      <c r="D255" s="1">
        <v>2016</v>
      </c>
      <c r="E255" s="3">
        <v>593917618</v>
      </c>
      <c r="F255" s="3" t="str" cm="1">
        <f t="array" ref="F25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55" s="1">
        <v>4779</v>
      </c>
      <c r="H255" s="1">
        <v>225</v>
      </c>
      <c r="I255" s="1">
        <v>5</v>
      </c>
      <c r="J255" s="1">
        <v>23975</v>
      </c>
      <c r="K255" s="1">
        <v>5</v>
      </c>
      <c r="L255" s="1">
        <v>43</v>
      </c>
      <c r="M255" s="1">
        <v>17</v>
      </c>
      <c r="N255" s="1">
        <v>14774</v>
      </c>
      <c r="O255" s="1">
        <v>331</v>
      </c>
      <c r="P255" s="2">
        <f>SUM(STREAMS_STATS[[#This Row],[In Spotify Playlists]],STREAMS_STATS[[#This Row],[In Apple Playlists]],STREAMS_STATS[[#This Row],[In Deezer Playlists]],STREAMS_STATS[[#This Row],[In YouTube Playlists]])</f>
        <v>43571</v>
      </c>
      <c r="Q255" s="1">
        <v>163</v>
      </c>
      <c r="R255" s="1">
        <v>-6</v>
      </c>
      <c r="S255" s="1" t="s">
        <v>68</v>
      </c>
      <c r="T255" s="1">
        <v>70</v>
      </c>
      <c r="U255" s="1">
        <v>63</v>
      </c>
      <c r="V255" s="1">
        <v>11</v>
      </c>
      <c r="W255" s="1">
        <v>50</v>
      </c>
      <c r="X255" s="1">
        <v>215</v>
      </c>
      <c r="Y255" s="5">
        <f>STREAMS_STATS[[#This Row],[Duration]]/60</f>
        <v>3.5833333333333335</v>
      </c>
      <c r="Z255" s="1">
        <v>1</v>
      </c>
      <c r="AA255" s="1">
        <v>15</v>
      </c>
      <c r="AB255" s="1">
        <v>77</v>
      </c>
    </row>
    <row r="256" spans="1:28">
      <c r="A256" t="s">
        <v>457</v>
      </c>
      <c r="B256" s="1" t="s">
        <v>38</v>
      </c>
      <c r="C256" s="1" t="s">
        <v>25</v>
      </c>
      <c r="D256" s="1">
        <v>2010</v>
      </c>
      <c r="E256" s="3">
        <v>1271293243</v>
      </c>
      <c r="F256" s="3" t="str" cm="1">
        <f t="array" ref="F256">_xlfn.IFS(STREAMS_STATS[[#This Row],[Streams]] &gt;= 1000000000, "1B+", STREAMS_STATS[[#This Row],[Streams]] &gt;= 500000000, "500M–1B", STREAMS_STATS[[#This Row],[Streams]] &gt;= 250000000, "250M–500M", TRUE, "Under 250M")</f>
        <v>1B+</v>
      </c>
      <c r="G256" s="1">
        <v>13101</v>
      </c>
      <c r="H256" s="1">
        <v>51</v>
      </c>
      <c r="I256" s="1">
        <v>21</v>
      </c>
      <c r="J256" s="1">
        <v>28559</v>
      </c>
      <c r="K256" s="1">
        <v>98</v>
      </c>
      <c r="L256" s="1">
        <v>7212</v>
      </c>
      <c r="M256" s="1">
        <v>79</v>
      </c>
      <c r="N256" s="1">
        <v>24863</v>
      </c>
      <c r="O256" s="1">
        <v>166</v>
      </c>
      <c r="P256" s="2">
        <f>SUM(STREAMS_STATS[[#This Row],[In Spotify Playlists]],STREAMS_STATS[[#This Row],[In Apple Playlists]],STREAMS_STATS[[#This Row],[In Deezer Playlists]],STREAMS_STATS[[#This Row],[In YouTube Playlists]])</f>
        <v>73735</v>
      </c>
      <c r="Q256" s="1">
        <v>109</v>
      </c>
      <c r="R256" s="1">
        <v>-5</v>
      </c>
      <c r="S256" s="1" t="s">
        <v>75</v>
      </c>
      <c r="T256" s="1">
        <v>84</v>
      </c>
      <c r="U256" s="1">
        <v>64</v>
      </c>
      <c r="V256" s="1">
        <v>9</v>
      </c>
      <c r="W256" s="1">
        <v>43</v>
      </c>
      <c r="X256" s="1">
        <v>221</v>
      </c>
      <c r="Y256" s="5">
        <f>STREAMS_STATS[[#This Row],[Duration]]/60</f>
        <v>3.6833333333333331</v>
      </c>
      <c r="Z256" s="1">
        <v>2</v>
      </c>
      <c r="AA256" s="1">
        <v>4</v>
      </c>
      <c r="AB256" s="1">
        <v>90</v>
      </c>
    </row>
    <row r="257" spans="1:28">
      <c r="A257" t="s">
        <v>458</v>
      </c>
      <c r="B257" s="1" t="s">
        <v>459</v>
      </c>
      <c r="C257" s="1" t="s">
        <v>110</v>
      </c>
      <c r="D257" s="1">
        <v>2016</v>
      </c>
      <c r="E257" s="3">
        <v>246376690</v>
      </c>
      <c r="F257" s="3" t="str" cm="1">
        <f t="array" ref="F25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57" s="1">
        <v>1801</v>
      </c>
      <c r="H257" s="1">
        <v>298</v>
      </c>
      <c r="I257" s="1">
        <v>57</v>
      </c>
      <c r="J257" s="1">
        <v>38843</v>
      </c>
      <c r="K257" s="1">
        <v>5</v>
      </c>
      <c r="L257" s="1">
        <v>3</v>
      </c>
      <c r="M257" s="1">
        <v>17</v>
      </c>
      <c r="N257" s="1">
        <v>20555</v>
      </c>
      <c r="O257" s="1">
        <v>375</v>
      </c>
      <c r="P257" s="2">
        <f>SUM(STREAMS_STATS[[#This Row],[In Spotify Playlists]],STREAMS_STATS[[#This Row],[In Apple Playlists]],STREAMS_STATS[[#This Row],[In Deezer Playlists]],STREAMS_STATS[[#This Row],[In YouTube Playlists]])</f>
        <v>61202</v>
      </c>
      <c r="Q257" s="1">
        <v>122</v>
      </c>
      <c r="R257" s="1">
        <v>-5</v>
      </c>
      <c r="S257" s="1" t="s">
        <v>68</v>
      </c>
      <c r="T257" s="1">
        <v>78</v>
      </c>
      <c r="U257" s="1">
        <v>60</v>
      </c>
      <c r="V257" s="1">
        <v>19</v>
      </c>
      <c r="W257" s="1">
        <v>53</v>
      </c>
      <c r="X257" s="1">
        <v>208</v>
      </c>
      <c r="Y257" s="5">
        <f>STREAMS_STATS[[#This Row],[Duration]]/60</f>
        <v>3.4666666666666668</v>
      </c>
      <c r="Z257" s="1">
        <v>16</v>
      </c>
      <c r="AA257" s="1">
        <v>5</v>
      </c>
      <c r="AB257" s="1">
        <v>52</v>
      </c>
    </row>
    <row r="258" spans="1:28">
      <c r="A258" t="s">
        <v>460</v>
      </c>
      <c r="B258" s="1" t="s">
        <v>140</v>
      </c>
      <c r="C258" s="1" t="s">
        <v>67</v>
      </c>
      <c r="D258" s="1">
        <v>2016</v>
      </c>
      <c r="E258" s="3">
        <v>546191065</v>
      </c>
      <c r="F258" s="3" t="str" cm="1">
        <f t="array" ref="F25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58" s="1">
        <v>4440</v>
      </c>
      <c r="H258" s="1">
        <v>423</v>
      </c>
      <c r="I258" s="1">
        <v>1</v>
      </c>
      <c r="J258" s="1">
        <v>35993</v>
      </c>
      <c r="K258" s="1">
        <v>1</v>
      </c>
      <c r="L258" s="1">
        <v>19</v>
      </c>
      <c r="M258" s="1">
        <v>27</v>
      </c>
      <c r="N258" s="1">
        <v>34018</v>
      </c>
      <c r="O258" s="1">
        <v>257</v>
      </c>
      <c r="P258" s="2">
        <f>SUM(STREAMS_STATS[[#This Row],[In Spotify Playlists]],STREAMS_STATS[[#This Row],[In Apple Playlists]],STREAMS_STATS[[#This Row],[In Deezer Playlists]],STREAMS_STATS[[#This Row],[In YouTube Playlists]])</f>
        <v>74470</v>
      </c>
      <c r="Q258" s="1">
        <v>120</v>
      </c>
      <c r="R258" s="1">
        <v>-5</v>
      </c>
      <c r="S258" s="1" t="s">
        <v>75</v>
      </c>
      <c r="T258" s="1">
        <v>88</v>
      </c>
      <c r="U258" s="1">
        <v>76</v>
      </c>
      <c r="V258" s="1">
        <v>10</v>
      </c>
      <c r="W258" s="1">
        <v>40</v>
      </c>
      <c r="X258" s="1">
        <v>218</v>
      </c>
      <c r="Y258" s="5">
        <f>STREAMS_STATS[[#This Row],[Duration]]/60</f>
        <v>3.6333333333333333</v>
      </c>
      <c r="Z258" s="1">
        <v>1</v>
      </c>
      <c r="AA258" s="1">
        <v>4</v>
      </c>
      <c r="AB258" s="1">
        <v>70</v>
      </c>
    </row>
    <row r="259" spans="1:28">
      <c r="A259" t="s">
        <v>461</v>
      </c>
      <c r="B259" s="1" t="s">
        <v>35</v>
      </c>
      <c r="C259" s="1" t="s">
        <v>24</v>
      </c>
      <c r="D259" s="1">
        <v>2019</v>
      </c>
      <c r="E259" s="3">
        <v>426204830</v>
      </c>
      <c r="F259" s="3" t="str" cm="1">
        <f t="array" ref="F25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59" s="1">
        <v>3301</v>
      </c>
      <c r="H259" s="1">
        <v>133</v>
      </c>
      <c r="I259" s="1">
        <v>47</v>
      </c>
      <c r="J259" s="1">
        <v>17158</v>
      </c>
      <c r="K259" s="1">
        <v>47</v>
      </c>
      <c r="L259" s="1">
        <v>690</v>
      </c>
      <c r="M259" s="1">
        <v>20</v>
      </c>
      <c r="N259" s="1">
        <v>21665</v>
      </c>
      <c r="O259" s="1">
        <v>122</v>
      </c>
      <c r="P259" s="2">
        <f>SUM(STREAMS_STATS[[#This Row],[In Spotify Playlists]],STREAMS_STATS[[#This Row],[In Apple Playlists]],STREAMS_STATS[[#This Row],[In Deezer Playlists]],STREAMS_STATS[[#This Row],[In YouTube Playlists]])</f>
        <v>42814</v>
      </c>
      <c r="Q259" s="1">
        <v>150</v>
      </c>
      <c r="R259" s="1">
        <v>-9</v>
      </c>
      <c r="S259" s="1" t="s">
        <v>68</v>
      </c>
      <c r="T259" s="1">
        <v>44</v>
      </c>
      <c r="U259" s="1">
        <v>70</v>
      </c>
      <c r="V259" s="1">
        <v>13</v>
      </c>
      <c r="W259" s="1">
        <v>23</v>
      </c>
      <c r="X259" s="1">
        <v>213</v>
      </c>
      <c r="Y259" s="5">
        <f>STREAMS_STATS[[#This Row],[Duration]]/60</f>
        <v>3.55</v>
      </c>
      <c r="Z259" s="1">
        <v>6</v>
      </c>
      <c r="AA259" s="1">
        <v>6</v>
      </c>
      <c r="AB259" s="1">
        <v>67</v>
      </c>
    </row>
    <row r="260" spans="1:28">
      <c r="A260" t="s">
        <v>462</v>
      </c>
      <c r="B260" s="1" t="s">
        <v>158</v>
      </c>
      <c r="C260" s="1" t="s">
        <v>159</v>
      </c>
      <c r="D260" s="1">
        <v>2013</v>
      </c>
      <c r="E260" s="3">
        <v>723894473</v>
      </c>
      <c r="F260" s="3" t="str" cm="1">
        <f t="array" ref="F26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60" s="1">
        <v>6339</v>
      </c>
      <c r="H260" s="1">
        <v>147</v>
      </c>
      <c r="I260" s="1">
        <v>11</v>
      </c>
      <c r="J260" s="1">
        <v>34312</v>
      </c>
      <c r="K260" s="1">
        <v>11</v>
      </c>
      <c r="L260" s="1">
        <v>13</v>
      </c>
      <c r="M260" s="1">
        <v>4</v>
      </c>
      <c r="N260" s="1">
        <v>1689</v>
      </c>
      <c r="O260" s="1">
        <v>152</v>
      </c>
      <c r="P260" s="2">
        <f>SUM(STREAMS_STATS[[#This Row],[In Spotify Playlists]],STREAMS_STATS[[#This Row],[In Apple Playlists]],STREAMS_STATS[[#This Row],[In Deezer Playlists]],STREAMS_STATS[[#This Row],[In YouTube Playlists]])</f>
        <v>42353</v>
      </c>
      <c r="Q260" s="1">
        <v>90</v>
      </c>
      <c r="R260" s="1">
        <v>-3</v>
      </c>
      <c r="S260" s="1" t="s">
        <v>68</v>
      </c>
      <c r="T260" s="1">
        <v>93</v>
      </c>
      <c r="U260" s="1">
        <v>63</v>
      </c>
      <c r="V260" s="1">
        <v>32</v>
      </c>
      <c r="W260" s="1">
        <v>91</v>
      </c>
      <c r="X260" s="1">
        <v>183</v>
      </c>
      <c r="Y260" s="5">
        <f>STREAMS_STATS[[#This Row],[Duration]]/60</f>
        <v>3.05</v>
      </c>
      <c r="Z260" s="1">
        <v>2</v>
      </c>
      <c r="AA260" s="1">
        <v>6</v>
      </c>
      <c r="AB260" s="1">
        <v>73</v>
      </c>
    </row>
    <row r="261" spans="1:28">
      <c r="A261" t="s">
        <v>463</v>
      </c>
      <c r="B261" s="1" t="s">
        <v>171</v>
      </c>
      <c r="C261" s="1" t="s">
        <v>67</v>
      </c>
      <c r="D261" s="1">
        <v>2017</v>
      </c>
      <c r="E261" s="3">
        <v>401036314</v>
      </c>
      <c r="F261" s="3" t="str" cm="1">
        <f t="array" ref="F26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61" s="1">
        <v>3107</v>
      </c>
      <c r="H261" s="1">
        <v>225</v>
      </c>
      <c r="I261" s="1">
        <v>33</v>
      </c>
      <c r="J261" s="1">
        <v>9039</v>
      </c>
      <c r="K261" s="1">
        <v>65</v>
      </c>
      <c r="L261" s="1">
        <v>203</v>
      </c>
      <c r="M261" s="1">
        <v>5</v>
      </c>
      <c r="N261" s="1">
        <v>8054</v>
      </c>
      <c r="O261" s="1">
        <v>342</v>
      </c>
      <c r="P261" s="2">
        <f>SUM(STREAMS_STATS[[#This Row],[In Spotify Playlists]],STREAMS_STATS[[#This Row],[In Apple Playlists]],STREAMS_STATS[[#This Row],[In Deezer Playlists]],STREAMS_STATS[[#This Row],[In YouTube Playlists]])</f>
        <v>20403</v>
      </c>
      <c r="Q261" s="1">
        <v>120</v>
      </c>
      <c r="R261" s="1">
        <v>-6</v>
      </c>
      <c r="S261" s="1" t="s">
        <v>68</v>
      </c>
      <c r="T261" s="1">
        <v>74</v>
      </c>
      <c r="U261" s="1">
        <v>77</v>
      </c>
      <c r="V261" s="1">
        <v>9</v>
      </c>
      <c r="W261" s="1">
        <v>86</v>
      </c>
      <c r="X261" s="1">
        <v>202</v>
      </c>
      <c r="Y261" s="5">
        <f>STREAMS_STATS[[#This Row],[Duration]]/60</f>
        <v>3.3666666666666667</v>
      </c>
      <c r="Z261" s="1">
        <v>5</v>
      </c>
      <c r="AA261" s="1">
        <v>4</v>
      </c>
      <c r="AB261" s="1">
        <v>66</v>
      </c>
    </row>
    <row r="262" spans="1:28">
      <c r="A262" t="s">
        <v>464</v>
      </c>
      <c r="B262" s="1" t="s">
        <v>171</v>
      </c>
      <c r="C262" s="1" t="s">
        <v>67</v>
      </c>
      <c r="D262" s="1">
        <v>2017</v>
      </c>
      <c r="E262" s="3">
        <v>223633238</v>
      </c>
      <c r="F262" s="3" t="str" cm="1">
        <f t="array" ref="F26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62" s="1">
        <v>1561</v>
      </c>
      <c r="H262" s="1">
        <v>379</v>
      </c>
      <c r="I262" s="1">
        <v>105</v>
      </c>
      <c r="J262" s="1">
        <v>26678</v>
      </c>
      <c r="K262" s="1">
        <v>105</v>
      </c>
      <c r="L262" s="1">
        <v>25</v>
      </c>
      <c r="M262" s="1">
        <v>47</v>
      </c>
      <c r="N262" s="1">
        <v>1682</v>
      </c>
      <c r="O262" s="1">
        <v>361</v>
      </c>
      <c r="P262" s="2">
        <f>SUM(STREAMS_STATS[[#This Row],[In Spotify Playlists]],STREAMS_STATS[[#This Row],[In Apple Playlists]],STREAMS_STATS[[#This Row],[In Deezer Playlists]],STREAMS_STATS[[#This Row],[In YouTube Playlists]])</f>
        <v>29946</v>
      </c>
      <c r="Q262" s="1">
        <v>120</v>
      </c>
      <c r="R262" s="1">
        <v>-6</v>
      </c>
      <c r="S262" s="1" t="s">
        <v>75</v>
      </c>
      <c r="T262" s="1">
        <v>77</v>
      </c>
      <c r="U262" s="1">
        <v>76</v>
      </c>
      <c r="V262" s="1">
        <v>8</v>
      </c>
      <c r="W262" s="1">
        <v>81</v>
      </c>
      <c r="X262" s="1">
        <v>202</v>
      </c>
      <c r="Y262" s="5">
        <f>STREAMS_STATS[[#This Row],[Duration]]/60</f>
        <v>3.3666666666666667</v>
      </c>
      <c r="Z262" s="1">
        <v>8</v>
      </c>
      <c r="AA262" s="1">
        <v>5</v>
      </c>
      <c r="AB262" s="1">
        <v>43</v>
      </c>
    </row>
    <row r="263" spans="1:28">
      <c r="A263" t="s">
        <v>465</v>
      </c>
      <c r="B263" s="1" t="s">
        <v>88</v>
      </c>
      <c r="C263" s="1" t="s">
        <v>67</v>
      </c>
      <c r="D263" s="1">
        <v>2015</v>
      </c>
      <c r="E263" s="3">
        <v>700</v>
      </c>
      <c r="F263" s="3" t="str" cm="1">
        <f t="array" ref="F26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63" s="1">
        <v>1338</v>
      </c>
      <c r="H263" s="1">
        <v>346</v>
      </c>
      <c r="I263" s="1">
        <v>1</v>
      </c>
      <c r="J263" s="1">
        <v>38580</v>
      </c>
      <c r="K263" s="1">
        <v>1</v>
      </c>
      <c r="L263" s="1">
        <v>26</v>
      </c>
      <c r="M263" s="1">
        <v>7</v>
      </c>
      <c r="N263" s="1">
        <v>28945</v>
      </c>
      <c r="O263" s="1">
        <v>148</v>
      </c>
      <c r="P263" s="2">
        <f>SUM(STREAMS_STATS[[#This Row],[In Spotify Playlists]],STREAMS_STATS[[#This Row],[In Apple Playlists]],STREAMS_STATS[[#This Row],[In Deezer Playlists]],STREAMS_STATS[[#This Row],[In YouTube Playlists]])</f>
        <v>68889</v>
      </c>
      <c r="Q263" s="1">
        <v>202</v>
      </c>
      <c r="R263" s="1">
        <v>-8</v>
      </c>
      <c r="S263" s="1" t="s">
        <v>68</v>
      </c>
      <c r="T263" s="1">
        <v>39</v>
      </c>
      <c r="U263" s="1">
        <v>48</v>
      </c>
      <c r="V263" s="1">
        <v>26</v>
      </c>
      <c r="W263" s="1">
        <v>27</v>
      </c>
      <c r="X263" s="1">
        <v>193</v>
      </c>
      <c r="Y263" s="5">
        <f>STREAMS_STATS[[#This Row],[Duration]]/60</f>
        <v>3.2166666666666668</v>
      </c>
      <c r="Z263" s="1">
        <v>2</v>
      </c>
      <c r="AA263" s="1">
        <v>9</v>
      </c>
      <c r="AB263" s="1">
        <v>0</v>
      </c>
    </row>
    <row r="264" spans="1:28">
      <c r="A264" t="s">
        <v>466</v>
      </c>
      <c r="B264" s="1" t="s">
        <v>216</v>
      </c>
      <c r="C264" s="1" t="s">
        <v>217</v>
      </c>
      <c r="D264" s="1">
        <v>2014</v>
      </c>
      <c r="E264" s="3">
        <v>244585109</v>
      </c>
      <c r="F264" s="3" t="str" cm="1">
        <f t="array" ref="F264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64" s="1">
        <v>1747</v>
      </c>
      <c r="H264" s="1">
        <v>143</v>
      </c>
      <c r="I264" s="1">
        <v>1</v>
      </c>
      <c r="J264" s="1">
        <v>14507</v>
      </c>
      <c r="K264" s="1">
        <v>1</v>
      </c>
      <c r="L264" s="1">
        <v>50</v>
      </c>
      <c r="M264" s="1">
        <v>32</v>
      </c>
      <c r="N264" s="1">
        <v>33669</v>
      </c>
      <c r="O264" s="1">
        <v>314</v>
      </c>
      <c r="P264" s="2">
        <f>SUM(STREAMS_STATS[[#This Row],[In Spotify Playlists]],STREAMS_STATS[[#This Row],[In Apple Playlists]],STREAMS_STATS[[#This Row],[In Deezer Playlists]],STREAMS_STATS[[#This Row],[In YouTube Playlists]])</f>
        <v>49973</v>
      </c>
      <c r="Q264" s="1">
        <v>128</v>
      </c>
      <c r="R264" s="1">
        <v>-5</v>
      </c>
      <c r="S264" s="1" t="s">
        <v>68</v>
      </c>
      <c r="T264" s="1">
        <v>82</v>
      </c>
      <c r="U264" s="1">
        <v>80</v>
      </c>
      <c r="V264" s="1">
        <v>35</v>
      </c>
      <c r="W264" s="1">
        <v>61</v>
      </c>
      <c r="X264" s="1">
        <v>198</v>
      </c>
      <c r="Y264" s="5">
        <f>STREAMS_STATS[[#This Row],[Duration]]/60</f>
        <v>3.3</v>
      </c>
      <c r="Z264" s="1">
        <v>18</v>
      </c>
      <c r="AA264" s="1">
        <v>4</v>
      </c>
      <c r="AB264" s="1">
        <v>50</v>
      </c>
    </row>
    <row r="265" spans="1:28">
      <c r="A265" t="s">
        <v>467</v>
      </c>
      <c r="B265" s="1" t="s">
        <v>162</v>
      </c>
      <c r="C265" s="1" t="s">
        <v>67</v>
      </c>
      <c r="D265" s="1">
        <v>2011</v>
      </c>
      <c r="E265" s="3">
        <v>201660859</v>
      </c>
      <c r="F265" s="3" t="str" cm="1">
        <f t="array" ref="F265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65" s="1">
        <v>1420</v>
      </c>
      <c r="H265" s="1">
        <v>101</v>
      </c>
      <c r="I265" s="1">
        <v>110</v>
      </c>
      <c r="J265" s="1">
        <v>32915</v>
      </c>
      <c r="K265" s="1">
        <v>83</v>
      </c>
      <c r="L265" s="1">
        <v>6310</v>
      </c>
      <c r="M265" s="1">
        <v>200</v>
      </c>
      <c r="N265" s="1">
        <v>5111</v>
      </c>
      <c r="O265" s="1">
        <v>215</v>
      </c>
      <c r="P265" s="2">
        <f>SUM(STREAMS_STATS[[#This Row],[In Spotify Playlists]],STREAMS_STATS[[#This Row],[In Apple Playlists]],STREAMS_STATS[[#This Row],[In Deezer Playlists]],STREAMS_STATS[[#This Row],[In YouTube Playlists]])</f>
        <v>45756</v>
      </c>
      <c r="Q265" s="1">
        <v>126</v>
      </c>
      <c r="R265" s="1">
        <v>-4</v>
      </c>
      <c r="S265" s="1" t="s">
        <v>68</v>
      </c>
      <c r="T265" s="1">
        <v>81</v>
      </c>
      <c r="U265" s="1">
        <v>65</v>
      </c>
      <c r="V265" s="1">
        <v>67</v>
      </c>
      <c r="W265" s="1">
        <v>72</v>
      </c>
      <c r="X265" s="1">
        <v>231</v>
      </c>
      <c r="Y265" s="5">
        <f>STREAMS_STATS[[#This Row],[Duration]]/60</f>
        <v>3.85</v>
      </c>
      <c r="Z265" s="1">
        <v>0</v>
      </c>
      <c r="AA265" s="1">
        <v>4</v>
      </c>
      <c r="AB265" s="1">
        <v>27</v>
      </c>
    </row>
    <row r="266" spans="1:28">
      <c r="A266" t="s">
        <v>468</v>
      </c>
      <c r="B266" s="1" t="s">
        <v>469</v>
      </c>
      <c r="C266" s="1" t="s">
        <v>470</v>
      </c>
      <c r="D266" s="1">
        <v>2014</v>
      </c>
      <c r="E266" s="3">
        <v>673801126</v>
      </c>
      <c r="F266" s="3" t="str" cm="1">
        <f t="array" ref="F26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66" s="1">
        <v>5491</v>
      </c>
      <c r="H266" s="1">
        <v>272</v>
      </c>
      <c r="I266" s="1">
        <v>8</v>
      </c>
      <c r="J266" s="1">
        <v>39256</v>
      </c>
      <c r="K266" s="1">
        <v>8</v>
      </c>
      <c r="L266" s="1">
        <v>6</v>
      </c>
      <c r="M266" s="1">
        <v>5</v>
      </c>
      <c r="N266" s="1">
        <v>4646</v>
      </c>
      <c r="O266" s="1">
        <v>31</v>
      </c>
      <c r="P266" s="2">
        <f>SUM(STREAMS_STATS[[#This Row],[In Spotify Playlists]],STREAMS_STATS[[#This Row],[In Apple Playlists]],STREAMS_STATS[[#This Row],[In Deezer Playlists]],STREAMS_STATS[[#This Row],[In YouTube Playlists]])</f>
        <v>49399</v>
      </c>
      <c r="Q266" s="1">
        <v>122</v>
      </c>
      <c r="R266" s="1">
        <v>-5</v>
      </c>
      <c r="S266" s="1" t="s">
        <v>68</v>
      </c>
      <c r="T266" s="1">
        <v>73</v>
      </c>
      <c r="U266" s="1">
        <v>50</v>
      </c>
      <c r="V266" s="1">
        <v>9</v>
      </c>
      <c r="W266" s="1">
        <v>52</v>
      </c>
      <c r="X266" s="1">
        <v>256</v>
      </c>
      <c r="Y266" s="5">
        <f>STREAMS_STATS[[#This Row],[Duration]]/60</f>
        <v>4.2666666666666666</v>
      </c>
      <c r="Z266" s="1">
        <v>2</v>
      </c>
      <c r="AA266" s="1">
        <v>17</v>
      </c>
      <c r="AB266" s="1">
        <v>72</v>
      </c>
    </row>
    <row r="267" spans="1:28">
      <c r="A267" t="s">
        <v>471</v>
      </c>
      <c r="B267" s="1" t="s">
        <v>472</v>
      </c>
      <c r="C267" s="1" t="s">
        <v>67</v>
      </c>
      <c r="D267" s="1">
        <v>2015</v>
      </c>
      <c r="E267" s="3">
        <v>331511413</v>
      </c>
      <c r="F267" s="3" t="str" cm="1">
        <f t="array" ref="F26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67" s="1">
        <v>2577</v>
      </c>
      <c r="H267" s="1">
        <v>326</v>
      </c>
      <c r="I267" s="1">
        <v>9</v>
      </c>
      <c r="J267" s="1">
        <v>1452</v>
      </c>
      <c r="K267" s="1">
        <v>9</v>
      </c>
      <c r="L267" s="1">
        <v>15</v>
      </c>
      <c r="M267" s="1">
        <v>43</v>
      </c>
      <c r="N267" s="1">
        <v>13849</v>
      </c>
      <c r="O267" s="1">
        <v>345</v>
      </c>
      <c r="P267" s="2">
        <f>SUM(STREAMS_STATS[[#This Row],[In Spotify Playlists]],STREAMS_STATS[[#This Row],[In Apple Playlists]],STREAMS_STATS[[#This Row],[In Deezer Playlists]],STREAMS_STATS[[#This Row],[In YouTube Playlists]])</f>
        <v>17893</v>
      </c>
      <c r="Q267" s="1">
        <v>123</v>
      </c>
      <c r="R267" s="1">
        <v>-7</v>
      </c>
      <c r="S267" s="1" t="s">
        <v>68</v>
      </c>
      <c r="T267" s="1">
        <v>75</v>
      </c>
      <c r="U267" s="1">
        <v>67</v>
      </c>
      <c r="V267" s="1">
        <v>19</v>
      </c>
      <c r="W267" s="1">
        <v>48</v>
      </c>
      <c r="X267" s="1">
        <v>242</v>
      </c>
      <c r="Y267" s="5">
        <f>STREAMS_STATS[[#This Row],[Duration]]/60</f>
        <v>4.0333333333333332</v>
      </c>
      <c r="Z267" s="1">
        <v>14</v>
      </c>
      <c r="AA267" s="1">
        <v>4</v>
      </c>
      <c r="AB267" s="1">
        <v>62</v>
      </c>
    </row>
    <row r="268" spans="1:28">
      <c r="A268" t="s">
        <v>473</v>
      </c>
      <c r="B268" s="1" t="s">
        <v>162</v>
      </c>
      <c r="C268" s="1" t="s">
        <v>67</v>
      </c>
      <c r="D268" s="1">
        <v>2015</v>
      </c>
      <c r="E268" s="3">
        <v>222612678</v>
      </c>
      <c r="F268" s="3" t="str" cm="1">
        <f t="array" ref="F26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68" s="1">
        <v>1545</v>
      </c>
      <c r="H268" s="1">
        <v>229</v>
      </c>
      <c r="I268" s="1">
        <v>6</v>
      </c>
      <c r="J268" s="1">
        <v>14396</v>
      </c>
      <c r="K268" s="1">
        <v>6</v>
      </c>
      <c r="L268" s="1">
        <v>11</v>
      </c>
      <c r="M268" s="1">
        <v>9</v>
      </c>
      <c r="N268" s="1">
        <v>16420</v>
      </c>
      <c r="O268" s="1">
        <v>155</v>
      </c>
      <c r="P268" s="2">
        <f>SUM(STREAMS_STATS[[#This Row],[In Spotify Playlists]],STREAMS_STATS[[#This Row],[In Apple Playlists]],STREAMS_STATS[[#This Row],[In Deezer Playlists]],STREAMS_STATS[[#This Row],[In YouTube Playlists]])</f>
        <v>32372</v>
      </c>
      <c r="Q268" s="1">
        <v>126</v>
      </c>
      <c r="R268" s="1">
        <v>-5</v>
      </c>
      <c r="S268" s="1" t="s">
        <v>75</v>
      </c>
      <c r="T268" s="1">
        <v>84</v>
      </c>
      <c r="U268" s="1">
        <v>62</v>
      </c>
      <c r="V268" s="1">
        <v>8</v>
      </c>
      <c r="W268" s="1">
        <v>39</v>
      </c>
      <c r="X268" s="1">
        <v>224</v>
      </c>
      <c r="Y268" s="5">
        <f>STREAMS_STATS[[#This Row],[Duration]]/60</f>
        <v>3.7333333333333334</v>
      </c>
      <c r="Z268" s="1">
        <v>2</v>
      </c>
      <c r="AA268" s="1">
        <v>8</v>
      </c>
      <c r="AB268" s="1">
        <v>41</v>
      </c>
    </row>
    <row r="269" spans="1:28">
      <c r="A269" t="s">
        <v>474</v>
      </c>
      <c r="B269" s="1" t="s">
        <v>475</v>
      </c>
      <c r="C269" s="1" t="s">
        <v>284</v>
      </c>
      <c r="D269" s="1">
        <v>2018</v>
      </c>
      <c r="E269" s="3">
        <v>459276435</v>
      </c>
      <c r="F269" s="3" t="str" cm="1">
        <f t="array" ref="F26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69" s="1">
        <v>3541</v>
      </c>
      <c r="H269" s="1">
        <v>434</v>
      </c>
      <c r="I269" s="1">
        <v>11</v>
      </c>
      <c r="J269" s="1">
        <v>23311</v>
      </c>
      <c r="K269" s="1">
        <v>11</v>
      </c>
      <c r="L269" s="1">
        <v>274</v>
      </c>
      <c r="M269" s="1">
        <v>27</v>
      </c>
      <c r="N269" s="1">
        <v>36550</v>
      </c>
      <c r="O269" s="1">
        <v>5</v>
      </c>
      <c r="P269" s="2">
        <f>SUM(STREAMS_STATS[[#This Row],[In Spotify Playlists]],STREAMS_STATS[[#This Row],[In Apple Playlists]],STREAMS_STATS[[#This Row],[In Deezer Playlists]],STREAMS_STATS[[#This Row],[In YouTube Playlists]])</f>
        <v>63676</v>
      </c>
      <c r="Q269" s="1">
        <v>95</v>
      </c>
      <c r="R269" s="1">
        <v>-7</v>
      </c>
      <c r="S269" s="1" t="s">
        <v>75</v>
      </c>
      <c r="T269" s="1">
        <v>73</v>
      </c>
      <c r="U269" s="1">
        <v>92</v>
      </c>
      <c r="V269" s="1">
        <v>12</v>
      </c>
      <c r="W269" s="1">
        <v>20</v>
      </c>
      <c r="X269" s="1">
        <v>220</v>
      </c>
      <c r="Y269" s="5">
        <f>STREAMS_STATS[[#This Row],[Duration]]/60</f>
        <v>3.6666666666666665</v>
      </c>
      <c r="Z269" s="1">
        <v>0</v>
      </c>
      <c r="AA269" s="1">
        <v>9</v>
      </c>
      <c r="AB269" s="1">
        <v>68</v>
      </c>
    </row>
    <row r="270" spans="1:28">
      <c r="A270" t="s">
        <v>476</v>
      </c>
      <c r="B270" s="1" t="s">
        <v>147</v>
      </c>
      <c r="C270" s="1" t="s">
        <v>148</v>
      </c>
      <c r="D270" s="1">
        <v>2014</v>
      </c>
      <c r="E270" s="3">
        <v>1113838873</v>
      </c>
      <c r="F270" s="3" t="str" cm="1">
        <f t="array" ref="F270">_xlfn.IFS(STREAMS_STATS[[#This Row],[Streams]] &gt;= 1000000000, "1B+", STREAMS_STATS[[#This Row],[Streams]] &gt;= 500000000, "500M–1B", STREAMS_STATS[[#This Row],[Streams]] &gt;= 250000000, "250M–500M", TRUE, "Under 250M")</f>
        <v>1B+</v>
      </c>
      <c r="G270" s="1">
        <v>9833</v>
      </c>
      <c r="H270" s="1">
        <v>90</v>
      </c>
      <c r="I270" s="1">
        <v>20</v>
      </c>
      <c r="J270" s="1">
        <v>21510</v>
      </c>
      <c r="K270" s="1">
        <v>20</v>
      </c>
      <c r="L270" s="1">
        <v>8</v>
      </c>
      <c r="M270" s="1">
        <v>41</v>
      </c>
      <c r="N270" s="1">
        <v>5920</v>
      </c>
      <c r="O270" s="1">
        <v>243</v>
      </c>
      <c r="P270" s="2">
        <f>SUM(STREAMS_STATS[[#This Row],[In Spotify Playlists]],STREAMS_STATS[[#This Row],[In Apple Playlists]],STREAMS_STATS[[#This Row],[In Deezer Playlists]],STREAMS_STATS[[#This Row],[In YouTube Playlists]])</f>
        <v>37271</v>
      </c>
      <c r="Q270" s="1">
        <v>75</v>
      </c>
      <c r="R270" s="1">
        <v>-7</v>
      </c>
      <c r="S270" s="1" t="s">
        <v>68</v>
      </c>
      <c r="T270" s="1">
        <v>54</v>
      </c>
      <c r="U270" s="1">
        <v>51</v>
      </c>
      <c r="V270" s="1">
        <v>10</v>
      </c>
      <c r="W270" s="1">
        <v>24</v>
      </c>
      <c r="X270" s="1">
        <v>253</v>
      </c>
      <c r="Y270" s="5">
        <f>STREAMS_STATS[[#This Row],[Duration]]/60</f>
        <v>4.2166666666666668</v>
      </c>
      <c r="Z270" s="1">
        <v>39</v>
      </c>
      <c r="AA270" s="1">
        <v>6</v>
      </c>
      <c r="AB270" s="1">
        <v>77</v>
      </c>
    </row>
    <row r="271" spans="1:28">
      <c r="A271" t="s">
        <v>477</v>
      </c>
      <c r="B271" s="1" t="s">
        <v>179</v>
      </c>
      <c r="C271" s="1" t="s">
        <v>67</v>
      </c>
      <c r="D271" s="1">
        <v>2014</v>
      </c>
      <c r="E271" s="3">
        <v>344055883</v>
      </c>
      <c r="F271" s="3" t="str" cm="1">
        <f t="array" ref="F27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71" s="1">
        <v>2651</v>
      </c>
      <c r="H271" s="1">
        <v>196</v>
      </c>
      <c r="I271" s="1">
        <v>110</v>
      </c>
      <c r="J271" s="1">
        <v>32415</v>
      </c>
      <c r="K271" s="1">
        <v>110</v>
      </c>
      <c r="L271" s="1">
        <v>26</v>
      </c>
      <c r="M271" s="1">
        <v>11</v>
      </c>
      <c r="N271" s="1">
        <v>31313</v>
      </c>
      <c r="O271" s="1">
        <v>154</v>
      </c>
      <c r="P271" s="2">
        <f>SUM(STREAMS_STATS[[#This Row],[In Spotify Playlists]],STREAMS_STATS[[#This Row],[In Apple Playlists]],STREAMS_STATS[[#This Row],[In Deezer Playlists]],STREAMS_STATS[[#This Row],[In YouTube Playlists]])</f>
        <v>66405</v>
      </c>
      <c r="Q271" s="1">
        <v>140</v>
      </c>
      <c r="R271" s="1">
        <v>-6</v>
      </c>
      <c r="S271" s="1" t="s">
        <v>68</v>
      </c>
      <c r="T271" s="1">
        <v>66</v>
      </c>
      <c r="U271" s="1">
        <v>50</v>
      </c>
      <c r="V271" s="1">
        <v>27</v>
      </c>
      <c r="W271" s="1">
        <v>25</v>
      </c>
      <c r="X271" s="1">
        <v>226</v>
      </c>
      <c r="Y271" s="5">
        <f>STREAMS_STATS[[#This Row],[Duration]]/60</f>
        <v>3.7666666666666666</v>
      </c>
      <c r="Z271" s="1">
        <v>3</v>
      </c>
      <c r="AA271" s="1">
        <v>4</v>
      </c>
      <c r="AB271" s="1">
        <v>63</v>
      </c>
    </row>
    <row r="272" spans="1:28">
      <c r="A272" t="s">
        <v>478</v>
      </c>
      <c r="B272" s="1" t="s">
        <v>303</v>
      </c>
      <c r="C272" s="1" t="s">
        <v>67</v>
      </c>
      <c r="D272" s="1">
        <v>2018</v>
      </c>
      <c r="E272" s="3">
        <v>611994237</v>
      </c>
      <c r="F272" s="3" t="str" cm="1">
        <f t="array" ref="F27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72" s="1">
        <v>5120</v>
      </c>
      <c r="H272" s="1">
        <v>418</v>
      </c>
      <c r="I272" s="1">
        <v>18</v>
      </c>
      <c r="J272" s="1">
        <v>8661</v>
      </c>
      <c r="K272" s="1">
        <v>18</v>
      </c>
      <c r="L272" s="1">
        <v>75</v>
      </c>
      <c r="M272" s="1">
        <v>29</v>
      </c>
      <c r="N272" s="1">
        <v>5228</v>
      </c>
      <c r="O272" s="1">
        <v>68</v>
      </c>
      <c r="P272" s="2">
        <f>SUM(STREAMS_STATS[[#This Row],[In Spotify Playlists]],STREAMS_STATS[[#This Row],[In Apple Playlists]],STREAMS_STATS[[#This Row],[In Deezer Playlists]],STREAMS_STATS[[#This Row],[In YouTube Playlists]])</f>
        <v>19084</v>
      </c>
      <c r="Q272" s="1">
        <v>168</v>
      </c>
      <c r="R272" s="1">
        <v>-6</v>
      </c>
      <c r="S272" s="1" t="s">
        <v>68</v>
      </c>
      <c r="T272" s="1">
        <v>57</v>
      </c>
      <c r="U272" s="1">
        <v>46</v>
      </c>
      <c r="V272" s="1">
        <v>10</v>
      </c>
      <c r="W272" s="1">
        <v>19</v>
      </c>
      <c r="X272" s="1">
        <v>185</v>
      </c>
      <c r="Y272" s="5">
        <f>STREAMS_STATS[[#This Row],[Duration]]/60</f>
        <v>3.0833333333333335</v>
      </c>
      <c r="Z272" s="1">
        <v>24</v>
      </c>
      <c r="AA272" s="1">
        <v>5</v>
      </c>
      <c r="AB272" s="1">
        <v>72</v>
      </c>
    </row>
    <row r="273" spans="1:28">
      <c r="A273" t="s">
        <v>479</v>
      </c>
      <c r="B273" s="1" t="s">
        <v>332</v>
      </c>
      <c r="C273" s="1" t="s">
        <v>67</v>
      </c>
      <c r="D273" s="1">
        <v>2015</v>
      </c>
      <c r="E273" s="3">
        <v>209768491</v>
      </c>
      <c r="F273" s="3" t="str" cm="1">
        <f t="array" ref="F27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73" s="1">
        <v>1473</v>
      </c>
      <c r="H273" s="1">
        <v>331</v>
      </c>
      <c r="I273" s="1">
        <v>45</v>
      </c>
      <c r="J273" s="1">
        <v>26876</v>
      </c>
      <c r="K273" s="1">
        <v>45</v>
      </c>
      <c r="L273" s="1">
        <v>3728</v>
      </c>
      <c r="M273" s="1">
        <v>34</v>
      </c>
      <c r="N273" s="1">
        <v>5425</v>
      </c>
      <c r="O273" s="1">
        <v>305</v>
      </c>
      <c r="P273" s="2">
        <f>SUM(STREAMS_STATS[[#This Row],[In Spotify Playlists]],STREAMS_STATS[[#This Row],[In Apple Playlists]],STREAMS_STATS[[#This Row],[In Deezer Playlists]],STREAMS_STATS[[#This Row],[In YouTube Playlists]])</f>
        <v>37502</v>
      </c>
      <c r="Q273" s="1">
        <v>112</v>
      </c>
      <c r="R273" s="1">
        <v>-4</v>
      </c>
      <c r="S273" s="1" t="s">
        <v>75</v>
      </c>
      <c r="T273" s="1">
        <v>90</v>
      </c>
      <c r="U273" s="1">
        <v>72</v>
      </c>
      <c r="V273" s="1">
        <v>6</v>
      </c>
      <c r="W273" s="1">
        <v>88</v>
      </c>
      <c r="X273" s="1">
        <v>238</v>
      </c>
      <c r="Y273" s="5">
        <f>STREAMS_STATS[[#This Row],[Duration]]/60</f>
        <v>3.9666666666666668</v>
      </c>
      <c r="Z273" s="1">
        <v>1</v>
      </c>
      <c r="AA273" s="1">
        <v>13</v>
      </c>
      <c r="AB273" s="1">
        <v>34</v>
      </c>
    </row>
    <row r="274" spans="1:28">
      <c r="A274" t="s">
        <v>480</v>
      </c>
      <c r="B274" s="1" t="s">
        <v>221</v>
      </c>
      <c r="C274" s="1" t="s">
        <v>67</v>
      </c>
      <c r="D274" s="1">
        <v>2018</v>
      </c>
      <c r="E274" s="3">
        <v>1699402402</v>
      </c>
      <c r="F274" s="3" t="str" cm="1">
        <f t="array" ref="F274">_xlfn.IFS(STREAMS_STATS[[#This Row],[Streams]] &gt;= 1000000000, "1B+", STREAMS_STATS[[#This Row],[Streams]] &gt;= 500000000, "500M–1B", STREAMS_STATS[[#This Row],[Streams]] &gt;= 250000000, "250M–500M", TRUE, "Under 250M")</f>
        <v>1B+</v>
      </c>
      <c r="G274" s="1">
        <v>21335</v>
      </c>
      <c r="H274" s="1">
        <v>21</v>
      </c>
      <c r="I274" s="1">
        <v>49</v>
      </c>
      <c r="J274" s="1">
        <v>29198</v>
      </c>
      <c r="K274" s="1">
        <v>49</v>
      </c>
      <c r="L274" s="1">
        <v>272</v>
      </c>
      <c r="M274" s="1">
        <v>21</v>
      </c>
      <c r="N274" s="1">
        <v>29949</v>
      </c>
      <c r="O274" s="1">
        <v>364</v>
      </c>
      <c r="P274" s="2">
        <f>SUM(STREAMS_STATS[[#This Row],[In Spotify Playlists]],STREAMS_STATS[[#This Row],[In Apple Playlists]],STREAMS_STATS[[#This Row],[In Deezer Playlists]],STREAMS_STATS[[#This Row],[In YouTube Playlists]])</f>
        <v>80754</v>
      </c>
      <c r="Q274" s="1">
        <v>103</v>
      </c>
      <c r="R274" s="1">
        <v>-4</v>
      </c>
      <c r="S274" s="1" t="s">
        <v>68</v>
      </c>
      <c r="T274" s="1">
        <v>71</v>
      </c>
      <c r="U274" s="1">
        <v>66</v>
      </c>
      <c r="V274" s="1">
        <v>8</v>
      </c>
      <c r="W274" s="1">
        <v>74</v>
      </c>
      <c r="X274" s="1">
        <v>175</v>
      </c>
      <c r="Y274" s="5">
        <f>STREAMS_STATS[[#This Row],[Duration]]/60</f>
        <v>2.9166666666666665</v>
      </c>
      <c r="Z274" s="1">
        <v>3</v>
      </c>
      <c r="AA274" s="1">
        <v>5</v>
      </c>
      <c r="AB274" s="1">
        <v>82</v>
      </c>
    </row>
    <row r="275" spans="1:28">
      <c r="A275" t="s">
        <v>481</v>
      </c>
      <c r="B275" s="1" t="s">
        <v>482</v>
      </c>
      <c r="C275" s="1" t="s">
        <v>22</v>
      </c>
      <c r="D275" s="1">
        <v>2017</v>
      </c>
      <c r="E275" s="3">
        <v>1755214421</v>
      </c>
      <c r="F275" s="3" t="str" cm="1">
        <f t="array" ref="F275">_xlfn.IFS(STREAMS_STATS[[#This Row],[Streams]] &gt;= 1000000000, "1B+", STREAMS_STATS[[#This Row],[Streams]] &gt;= 500000000, "500M–1B", STREAMS_STATS[[#This Row],[Streams]] &gt;= 250000000, "250M–500M", TRUE, "Under 250M")</f>
        <v>1B+</v>
      </c>
      <c r="G275" s="1">
        <v>21915</v>
      </c>
      <c r="H275" s="1">
        <v>20</v>
      </c>
      <c r="I275" s="1">
        <v>74</v>
      </c>
      <c r="J275" s="1">
        <v>35846</v>
      </c>
      <c r="K275" s="1">
        <v>74</v>
      </c>
      <c r="L275" s="1">
        <v>119</v>
      </c>
      <c r="M275" s="1">
        <v>1</v>
      </c>
      <c r="N275" s="1">
        <v>15554</v>
      </c>
      <c r="O275" s="1">
        <v>120</v>
      </c>
      <c r="P275" s="2">
        <f>SUM(STREAMS_STATS[[#This Row],[In Spotify Playlists]],STREAMS_STATS[[#This Row],[In Apple Playlists]],STREAMS_STATS[[#This Row],[In Deezer Playlists]],STREAMS_STATS[[#This Row],[In YouTube Playlists]])</f>
        <v>73434</v>
      </c>
      <c r="Q275" s="1">
        <v>100</v>
      </c>
      <c r="R275" s="1">
        <v>-5</v>
      </c>
      <c r="S275" s="1" t="s">
        <v>75</v>
      </c>
      <c r="T275" s="1">
        <v>72</v>
      </c>
      <c r="U275" s="1">
        <v>65</v>
      </c>
      <c r="V275" s="1">
        <v>14</v>
      </c>
      <c r="W275" s="1">
        <v>16</v>
      </c>
      <c r="X275" s="1">
        <v>206</v>
      </c>
      <c r="Y275" s="5">
        <f>STREAMS_STATS[[#This Row],[Duration]]/60</f>
        <v>3.4333333333333331</v>
      </c>
      <c r="Z275" s="1">
        <v>9</v>
      </c>
      <c r="AA275" s="1">
        <v>3</v>
      </c>
      <c r="AB275" s="1">
        <v>82</v>
      </c>
    </row>
    <row r="276" spans="1:28">
      <c r="A276" t="s">
        <v>483</v>
      </c>
      <c r="B276" s="1" t="s">
        <v>484</v>
      </c>
      <c r="C276" s="1" t="s">
        <v>67</v>
      </c>
      <c r="D276" s="1">
        <v>2013</v>
      </c>
      <c r="E276" s="3">
        <v>563902868</v>
      </c>
      <c r="F276" s="3" t="str" cm="1">
        <f t="array" ref="F27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76" s="1">
        <v>4572</v>
      </c>
      <c r="H276" s="1">
        <v>181</v>
      </c>
      <c r="I276" s="1">
        <v>56</v>
      </c>
      <c r="J276" s="1">
        <v>38750</v>
      </c>
      <c r="K276" s="1">
        <v>56</v>
      </c>
      <c r="L276" s="1">
        <v>13</v>
      </c>
      <c r="M276" s="1">
        <v>43</v>
      </c>
      <c r="N276" s="1">
        <v>28793</v>
      </c>
      <c r="O276" s="1">
        <v>146</v>
      </c>
      <c r="P276" s="2">
        <f>SUM(STREAMS_STATS[[#This Row],[In Spotify Playlists]],STREAMS_STATS[[#This Row],[In Apple Playlists]],STREAMS_STATS[[#This Row],[In Deezer Playlists]],STREAMS_STATS[[#This Row],[In YouTube Playlists]])</f>
        <v>72128</v>
      </c>
      <c r="Q276" s="1">
        <v>125</v>
      </c>
      <c r="R276" s="1">
        <v>-7</v>
      </c>
      <c r="S276" s="1" t="s">
        <v>75</v>
      </c>
      <c r="T276" s="1">
        <v>68</v>
      </c>
      <c r="U276" s="1">
        <v>66</v>
      </c>
      <c r="V276" s="1">
        <v>37</v>
      </c>
      <c r="W276" s="1">
        <v>25</v>
      </c>
      <c r="X276" s="1">
        <v>252</v>
      </c>
      <c r="Y276" s="5">
        <f>STREAMS_STATS[[#This Row],[Duration]]/60</f>
        <v>4.2</v>
      </c>
      <c r="Z276" s="1">
        <v>25</v>
      </c>
      <c r="AA276" s="1">
        <v>4</v>
      </c>
      <c r="AB276" s="1">
        <v>70</v>
      </c>
    </row>
    <row r="277" spans="1:28">
      <c r="A277" t="s">
        <v>485</v>
      </c>
      <c r="B277" s="1" t="s">
        <v>246</v>
      </c>
      <c r="C277" s="1" t="s">
        <v>67</v>
      </c>
      <c r="D277" s="1">
        <v>2016</v>
      </c>
      <c r="E277" s="3">
        <v>704171068</v>
      </c>
      <c r="F277" s="3" t="str" cm="1">
        <f t="array" ref="F27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77" s="1">
        <v>6111</v>
      </c>
      <c r="H277" s="1">
        <v>146</v>
      </c>
      <c r="I277" s="1">
        <v>5</v>
      </c>
      <c r="J277" s="1">
        <v>6223</v>
      </c>
      <c r="K277" s="1">
        <v>88</v>
      </c>
      <c r="L277" s="1">
        <v>44</v>
      </c>
      <c r="M277" s="1">
        <v>33</v>
      </c>
      <c r="N277" s="1">
        <v>15113</v>
      </c>
      <c r="O277" s="1">
        <v>187</v>
      </c>
      <c r="P277" s="2">
        <f>SUM(STREAMS_STATS[[#This Row],[In Spotify Playlists]],STREAMS_STATS[[#This Row],[In Apple Playlists]],STREAMS_STATS[[#This Row],[In Deezer Playlists]],STREAMS_STATS[[#This Row],[In YouTube Playlists]])</f>
        <v>27491</v>
      </c>
      <c r="Q277" s="1">
        <v>108</v>
      </c>
      <c r="R277" s="1">
        <v>-4</v>
      </c>
      <c r="S277" s="1" t="s">
        <v>75</v>
      </c>
      <c r="T277" s="1">
        <v>88</v>
      </c>
      <c r="U277" s="1">
        <v>75</v>
      </c>
      <c r="V277" s="1">
        <v>23</v>
      </c>
      <c r="W277" s="1">
        <v>75</v>
      </c>
      <c r="X277" s="1">
        <v>166</v>
      </c>
      <c r="Y277" s="5">
        <f>STREAMS_STATS[[#This Row],[Duration]]/60</f>
        <v>2.7666666666666666</v>
      </c>
      <c r="Z277" s="1">
        <v>4</v>
      </c>
      <c r="AA277" s="1">
        <v>7</v>
      </c>
      <c r="AB277" s="1">
        <v>73</v>
      </c>
    </row>
    <row r="278" spans="1:28">
      <c r="A278" t="s">
        <v>486</v>
      </c>
      <c r="B278" s="1" t="s">
        <v>126</v>
      </c>
      <c r="C278" s="1" t="s">
        <v>67</v>
      </c>
      <c r="D278" s="1">
        <v>2012</v>
      </c>
      <c r="E278" s="3">
        <v>389771964</v>
      </c>
      <c r="F278" s="3" t="str" cm="1">
        <f t="array" ref="F27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78" s="1">
        <v>3006</v>
      </c>
      <c r="H278" s="1">
        <v>413</v>
      </c>
      <c r="I278" s="1">
        <v>395</v>
      </c>
      <c r="J278" s="1">
        <v>29613</v>
      </c>
      <c r="K278" s="1">
        <v>93</v>
      </c>
      <c r="L278" s="1">
        <v>8338</v>
      </c>
      <c r="M278" s="1">
        <v>57</v>
      </c>
      <c r="N278" s="1">
        <v>33758</v>
      </c>
      <c r="O278" s="1">
        <v>337</v>
      </c>
      <c r="P278" s="2">
        <f>SUM(STREAMS_STATS[[#This Row],[In Spotify Playlists]],STREAMS_STATS[[#This Row],[In Apple Playlists]],STREAMS_STATS[[#This Row],[In Deezer Playlists]],STREAMS_STATS[[#This Row],[In YouTube Playlists]])</f>
        <v>74715</v>
      </c>
      <c r="Q278" s="1">
        <v>120</v>
      </c>
      <c r="R278" s="1">
        <v>-6</v>
      </c>
      <c r="S278" s="1" t="s">
        <v>75</v>
      </c>
      <c r="T278" s="1">
        <v>80</v>
      </c>
      <c r="U278" s="1">
        <v>68</v>
      </c>
      <c r="V278" s="1">
        <v>13</v>
      </c>
      <c r="W278" s="1">
        <v>78</v>
      </c>
      <c r="X278" s="1">
        <v>211</v>
      </c>
      <c r="Y278" s="5">
        <f>STREAMS_STATS[[#This Row],[Duration]]/60</f>
        <v>3.5166666666666666</v>
      </c>
      <c r="Z278" s="1">
        <v>3</v>
      </c>
      <c r="AA278" s="1">
        <v>4</v>
      </c>
      <c r="AB278" s="1">
        <v>65</v>
      </c>
    </row>
    <row r="279" spans="1:28">
      <c r="A279" t="s">
        <v>487</v>
      </c>
      <c r="B279" s="1" t="s">
        <v>488</v>
      </c>
      <c r="C279" s="1" t="s">
        <v>67</v>
      </c>
      <c r="D279" s="1">
        <v>2010</v>
      </c>
      <c r="E279" s="3">
        <v>694525298</v>
      </c>
      <c r="F279" s="3" t="str" cm="1">
        <f t="array" ref="F27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79" s="1">
        <v>6060</v>
      </c>
      <c r="H279" s="1">
        <v>328</v>
      </c>
      <c r="I279" s="1">
        <v>454</v>
      </c>
      <c r="J279" s="1">
        <v>1696</v>
      </c>
      <c r="K279" s="1">
        <v>88</v>
      </c>
      <c r="L279" s="1">
        <v>4956</v>
      </c>
      <c r="M279" s="1">
        <v>97</v>
      </c>
      <c r="N279" s="1">
        <v>21071</v>
      </c>
      <c r="O279" s="1">
        <v>213</v>
      </c>
      <c r="P279" s="2">
        <f>SUM(STREAMS_STATS[[#This Row],[In Spotify Playlists]],STREAMS_STATS[[#This Row],[In Apple Playlists]],STREAMS_STATS[[#This Row],[In Deezer Playlists]],STREAMS_STATS[[#This Row],[In YouTube Playlists]])</f>
        <v>33783</v>
      </c>
      <c r="Q279" s="1">
        <v>125</v>
      </c>
      <c r="R279" s="1">
        <v>-8</v>
      </c>
      <c r="S279" s="1" t="s">
        <v>75</v>
      </c>
      <c r="T279" s="1">
        <v>84</v>
      </c>
      <c r="U279" s="1">
        <v>44</v>
      </c>
      <c r="V279" s="1">
        <v>12</v>
      </c>
      <c r="W279" s="1">
        <v>78</v>
      </c>
      <c r="X279" s="1">
        <v>217</v>
      </c>
      <c r="Y279" s="5">
        <f>STREAMS_STATS[[#This Row],[Duration]]/60</f>
        <v>3.6166666666666667</v>
      </c>
      <c r="Z279" s="1">
        <v>1</v>
      </c>
      <c r="AA279" s="1">
        <v>45</v>
      </c>
      <c r="AB279" s="1">
        <v>72</v>
      </c>
    </row>
    <row r="280" spans="1:28">
      <c r="A280" t="s">
        <v>489</v>
      </c>
      <c r="B280" s="1" t="s">
        <v>303</v>
      </c>
      <c r="C280" s="1" t="s">
        <v>67</v>
      </c>
      <c r="D280" s="1">
        <v>2016</v>
      </c>
      <c r="E280" s="3">
        <v>368646862</v>
      </c>
      <c r="F280" s="3" t="str" cm="1">
        <f t="array" ref="F28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80" s="1">
        <v>2939</v>
      </c>
      <c r="H280" s="1">
        <v>257</v>
      </c>
      <c r="I280" s="1">
        <v>67</v>
      </c>
      <c r="J280" s="1">
        <v>15816</v>
      </c>
      <c r="K280" s="1">
        <v>90</v>
      </c>
      <c r="L280" s="1">
        <v>28</v>
      </c>
      <c r="M280" s="1">
        <v>29</v>
      </c>
      <c r="N280" s="1">
        <v>25742</v>
      </c>
      <c r="O280" s="1">
        <v>318</v>
      </c>
      <c r="P280" s="2">
        <f>SUM(STREAMS_STATS[[#This Row],[In Spotify Playlists]],STREAMS_STATS[[#This Row],[In Apple Playlists]],STREAMS_STATS[[#This Row],[In Deezer Playlists]],STREAMS_STATS[[#This Row],[In YouTube Playlists]])</f>
        <v>44525</v>
      </c>
      <c r="Q280" s="1">
        <v>113</v>
      </c>
      <c r="R280" s="1">
        <v>-6</v>
      </c>
      <c r="S280" s="1" t="s">
        <v>75</v>
      </c>
      <c r="T280" s="1">
        <v>83</v>
      </c>
      <c r="U280" s="1">
        <v>56</v>
      </c>
      <c r="V280" s="1">
        <v>26</v>
      </c>
      <c r="W280" s="1">
        <v>23</v>
      </c>
      <c r="X280" s="1">
        <v>192</v>
      </c>
      <c r="Y280" s="5">
        <f>STREAMS_STATS[[#This Row],[Duration]]/60</f>
        <v>3.2</v>
      </c>
      <c r="Z280" s="1">
        <v>2</v>
      </c>
      <c r="AA280" s="1">
        <v>11</v>
      </c>
      <c r="AB280" s="1">
        <v>65</v>
      </c>
    </row>
    <row r="281" spans="1:28">
      <c r="A281" t="s">
        <v>490</v>
      </c>
      <c r="B281" s="1" t="s">
        <v>102</v>
      </c>
      <c r="C281" s="1" t="s">
        <v>67</v>
      </c>
      <c r="D281" s="1">
        <v>2016</v>
      </c>
      <c r="E281" s="3">
        <v>1297026226</v>
      </c>
      <c r="F281" s="3" t="str" cm="1">
        <f t="array" ref="F281">_xlfn.IFS(STREAMS_STATS[[#This Row],[Streams]] &gt;= 1000000000, "1B+", STREAMS_STATS[[#This Row],[Streams]] &gt;= 500000000, "500M–1B", STREAMS_STATS[[#This Row],[Streams]] &gt;= 250000000, "250M–500M", TRUE, "Under 250M")</f>
        <v>1B+</v>
      </c>
      <c r="G281" s="1">
        <v>13454</v>
      </c>
      <c r="H281" s="1">
        <v>59</v>
      </c>
      <c r="I281" s="1">
        <v>18</v>
      </c>
      <c r="J281" s="1">
        <v>25627</v>
      </c>
      <c r="K281" s="1">
        <v>41</v>
      </c>
      <c r="L281" s="1">
        <v>49</v>
      </c>
      <c r="M281" s="1">
        <v>16</v>
      </c>
      <c r="N281" s="1">
        <v>16263</v>
      </c>
      <c r="O281" s="1">
        <v>241</v>
      </c>
      <c r="P281" s="2">
        <f>SUM(STREAMS_STATS[[#This Row],[In Spotify Playlists]],STREAMS_STATS[[#This Row],[In Apple Playlists]],STREAMS_STATS[[#This Row],[In Deezer Playlists]],STREAMS_STATS[[#This Row],[In YouTube Playlists]])</f>
        <v>55393</v>
      </c>
      <c r="Q281" s="1">
        <v>108</v>
      </c>
      <c r="R281" s="1">
        <v>-7</v>
      </c>
      <c r="S281" s="1" t="s">
        <v>68</v>
      </c>
      <c r="T281" s="1">
        <v>53</v>
      </c>
      <c r="U281" s="1">
        <v>63</v>
      </c>
      <c r="V281" s="1">
        <v>18</v>
      </c>
      <c r="W281" s="1">
        <v>42</v>
      </c>
      <c r="X281" s="1">
        <v>225</v>
      </c>
      <c r="Y281" s="5">
        <f>STREAMS_STATS[[#This Row],[Duration]]/60</f>
        <v>3.75</v>
      </c>
      <c r="Z281" s="1">
        <v>40</v>
      </c>
      <c r="AA281" s="1">
        <v>4</v>
      </c>
      <c r="AB281" s="1">
        <v>79</v>
      </c>
    </row>
    <row r="282" spans="1:28">
      <c r="A282" t="s">
        <v>491</v>
      </c>
      <c r="B282" s="1" t="s">
        <v>102</v>
      </c>
      <c r="C282" s="1" t="s">
        <v>67</v>
      </c>
      <c r="D282" s="1">
        <v>2015</v>
      </c>
      <c r="E282" s="3">
        <v>465959382</v>
      </c>
      <c r="F282" s="3" t="str" cm="1">
        <f t="array" ref="F28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82" s="1">
        <v>3645</v>
      </c>
      <c r="H282" s="1">
        <v>365</v>
      </c>
      <c r="I282" s="1">
        <v>19</v>
      </c>
      <c r="J282" s="1">
        <v>1619</v>
      </c>
      <c r="K282" s="1">
        <v>15</v>
      </c>
      <c r="L282" s="1">
        <v>15</v>
      </c>
      <c r="M282" s="1">
        <v>9</v>
      </c>
      <c r="N282" s="1">
        <v>18172</v>
      </c>
      <c r="O282" s="1">
        <v>111</v>
      </c>
      <c r="P282" s="2">
        <f>SUM(STREAMS_STATS[[#This Row],[In Spotify Playlists]],STREAMS_STATS[[#This Row],[In Apple Playlists]],STREAMS_STATS[[#This Row],[In Deezer Playlists]],STREAMS_STATS[[#This Row],[In YouTube Playlists]])</f>
        <v>23451</v>
      </c>
      <c r="Q282" s="1">
        <v>139</v>
      </c>
      <c r="R282" s="1">
        <v>-5</v>
      </c>
      <c r="S282" s="1" t="s">
        <v>75</v>
      </c>
      <c r="T282" s="1">
        <v>83</v>
      </c>
      <c r="U282" s="1">
        <v>78</v>
      </c>
      <c r="V282" s="1">
        <v>11</v>
      </c>
      <c r="W282" s="1">
        <v>95</v>
      </c>
      <c r="X282" s="1">
        <v>183</v>
      </c>
      <c r="Y282" s="5">
        <f>STREAMS_STATS[[#This Row],[Duration]]/60</f>
        <v>3.05</v>
      </c>
      <c r="Z282" s="1">
        <v>5</v>
      </c>
      <c r="AA282" s="1">
        <v>5</v>
      </c>
      <c r="AB282" s="1">
        <v>68</v>
      </c>
    </row>
    <row r="283" spans="1:28">
      <c r="A283" t="s">
        <v>492</v>
      </c>
      <c r="B283" s="1" t="s">
        <v>493</v>
      </c>
      <c r="C283" s="1" t="s">
        <v>67</v>
      </c>
      <c r="D283" s="1">
        <v>2016</v>
      </c>
      <c r="E283" s="3">
        <v>211050784</v>
      </c>
      <c r="F283" s="3" t="str" cm="1">
        <f t="array" ref="F28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83" s="1">
        <v>1479</v>
      </c>
      <c r="H283" s="1">
        <v>257</v>
      </c>
      <c r="I283" s="1">
        <v>2</v>
      </c>
      <c r="J283" s="1">
        <v>18742</v>
      </c>
      <c r="K283" s="1">
        <v>2</v>
      </c>
      <c r="L283" s="1">
        <v>31</v>
      </c>
      <c r="M283" s="1">
        <v>10</v>
      </c>
      <c r="N283" s="1">
        <v>23429</v>
      </c>
      <c r="O283" s="1">
        <v>247</v>
      </c>
      <c r="P283" s="2">
        <f>SUM(STREAMS_STATS[[#This Row],[In Spotify Playlists]],STREAMS_STATS[[#This Row],[In Apple Playlists]],STREAMS_STATS[[#This Row],[In Deezer Playlists]],STREAMS_STATS[[#This Row],[In YouTube Playlists]])</f>
        <v>43681</v>
      </c>
      <c r="Q283" s="1">
        <v>124</v>
      </c>
      <c r="R283" s="1">
        <v>-6</v>
      </c>
      <c r="S283" s="1" t="s">
        <v>68</v>
      </c>
      <c r="T283" s="1">
        <v>76</v>
      </c>
      <c r="U283" s="1">
        <v>57</v>
      </c>
      <c r="V283" s="1">
        <v>4</v>
      </c>
      <c r="W283" s="1">
        <v>40</v>
      </c>
      <c r="X283" s="1">
        <v>204</v>
      </c>
      <c r="Y283" s="5">
        <f>STREAMS_STATS[[#This Row],[Duration]]/60</f>
        <v>3.4</v>
      </c>
      <c r="Z283" s="1">
        <v>0</v>
      </c>
      <c r="AA283" s="1">
        <v>6</v>
      </c>
      <c r="AB283" s="1">
        <v>36</v>
      </c>
    </row>
    <row r="284" spans="1:28">
      <c r="A284" t="s">
        <v>494</v>
      </c>
      <c r="B284" s="1" t="s">
        <v>95</v>
      </c>
      <c r="C284" s="1" t="s">
        <v>67</v>
      </c>
      <c r="D284" s="1">
        <v>2013</v>
      </c>
      <c r="E284" s="3">
        <v>286739476</v>
      </c>
      <c r="F284" s="3" t="str" cm="1">
        <f t="array" ref="F28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84" s="1">
        <v>2129</v>
      </c>
      <c r="H284" s="1">
        <v>400</v>
      </c>
      <c r="I284" s="1">
        <v>14</v>
      </c>
      <c r="J284" s="1">
        <v>17455</v>
      </c>
      <c r="K284" s="1">
        <v>14</v>
      </c>
      <c r="L284" s="1">
        <v>7</v>
      </c>
      <c r="M284" s="1">
        <v>7</v>
      </c>
      <c r="N284" s="1">
        <v>15048</v>
      </c>
      <c r="O284" s="1">
        <v>89</v>
      </c>
      <c r="P284" s="2">
        <f>SUM(STREAMS_STATS[[#This Row],[In Spotify Playlists]],STREAMS_STATS[[#This Row],[In Apple Playlists]],STREAMS_STATS[[#This Row],[In Deezer Playlists]],STREAMS_STATS[[#This Row],[In YouTube Playlists]])</f>
        <v>34639</v>
      </c>
      <c r="Q284" s="1">
        <v>128</v>
      </c>
      <c r="R284" s="1">
        <v>-5</v>
      </c>
      <c r="S284" s="1" t="s">
        <v>68</v>
      </c>
      <c r="T284" s="1">
        <v>73</v>
      </c>
      <c r="U284" s="1">
        <v>69</v>
      </c>
      <c r="V284" s="1">
        <v>33</v>
      </c>
      <c r="W284" s="1">
        <v>65</v>
      </c>
      <c r="X284" s="1">
        <v>244</v>
      </c>
      <c r="Y284" s="5">
        <f>STREAMS_STATS[[#This Row],[Duration]]/60</f>
        <v>4.0666666666666664</v>
      </c>
      <c r="Z284" s="1">
        <v>1</v>
      </c>
      <c r="AA284" s="1">
        <v>17</v>
      </c>
      <c r="AB284" s="1">
        <v>57</v>
      </c>
    </row>
    <row r="285" spans="1:28">
      <c r="A285" t="s">
        <v>495</v>
      </c>
      <c r="B285" s="1" t="s">
        <v>357</v>
      </c>
      <c r="C285" s="1" t="s">
        <v>67</v>
      </c>
      <c r="D285" s="1">
        <v>2015</v>
      </c>
      <c r="E285" s="3">
        <v>247737946</v>
      </c>
      <c r="F285" s="3" t="str" cm="1">
        <f t="array" ref="F285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285" s="1">
        <v>1845</v>
      </c>
      <c r="H285" s="1">
        <v>411</v>
      </c>
      <c r="I285" s="1">
        <v>9</v>
      </c>
      <c r="J285" s="1">
        <v>12593</v>
      </c>
      <c r="K285" s="1">
        <v>9</v>
      </c>
      <c r="L285" s="1">
        <v>1</v>
      </c>
      <c r="M285" s="1">
        <v>13</v>
      </c>
      <c r="N285" s="1">
        <v>10908</v>
      </c>
      <c r="O285" s="1">
        <v>169</v>
      </c>
      <c r="P285" s="2">
        <f>SUM(STREAMS_STATS[[#This Row],[In Spotify Playlists]],STREAMS_STATS[[#This Row],[In Apple Playlists]],STREAMS_STATS[[#This Row],[In Deezer Playlists]],STREAMS_STATS[[#This Row],[In YouTube Playlists]])</f>
        <v>25347</v>
      </c>
      <c r="Q285" s="1">
        <v>123</v>
      </c>
      <c r="R285" s="1">
        <v>-5</v>
      </c>
      <c r="S285" s="1" t="s">
        <v>68</v>
      </c>
      <c r="T285" s="1">
        <v>79</v>
      </c>
      <c r="U285" s="1">
        <v>67</v>
      </c>
      <c r="V285" s="1">
        <v>25</v>
      </c>
      <c r="W285" s="1">
        <v>39</v>
      </c>
      <c r="X285" s="1">
        <v>219</v>
      </c>
      <c r="Y285" s="5">
        <f>STREAMS_STATS[[#This Row],[Duration]]/60</f>
        <v>3.65</v>
      </c>
      <c r="Z285" s="1">
        <v>4</v>
      </c>
      <c r="AA285" s="1">
        <v>9</v>
      </c>
      <c r="AB285" s="1">
        <v>52</v>
      </c>
    </row>
    <row r="286" spans="1:28">
      <c r="A286" t="s">
        <v>496</v>
      </c>
      <c r="B286" s="1" t="s">
        <v>216</v>
      </c>
      <c r="C286" s="1" t="s">
        <v>217</v>
      </c>
      <c r="D286" s="1">
        <v>2010</v>
      </c>
      <c r="E286" s="3">
        <v>283332261</v>
      </c>
      <c r="F286" s="3" t="str" cm="1">
        <f t="array" ref="F28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86" s="1">
        <v>2094</v>
      </c>
      <c r="H286" s="1">
        <v>150</v>
      </c>
      <c r="I286" s="1">
        <v>32</v>
      </c>
      <c r="J286" s="1">
        <v>8310</v>
      </c>
      <c r="K286" s="1">
        <v>77</v>
      </c>
      <c r="L286" s="1">
        <v>3679</v>
      </c>
      <c r="M286" s="1">
        <v>120</v>
      </c>
      <c r="N286" s="1">
        <v>29341</v>
      </c>
      <c r="O286" s="1">
        <v>4</v>
      </c>
      <c r="P286" s="2">
        <f>SUM(STREAMS_STATS[[#This Row],[In Spotify Playlists]],STREAMS_STATS[[#This Row],[In Apple Playlists]],STREAMS_STATS[[#This Row],[In Deezer Playlists]],STREAMS_STATS[[#This Row],[In YouTube Playlists]])</f>
        <v>43424</v>
      </c>
      <c r="Q286" s="1">
        <v>112</v>
      </c>
      <c r="R286" s="1">
        <v>-4</v>
      </c>
      <c r="S286" s="1" t="s">
        <v>68</v>
      </c>
      <c r="T286" s="1">
        <v>87</v>
      </c>
      <c r="U286" s="1">
        <v>80</v>
      </c>
      <c r="V286" s="1">
        <v>9</v>
      </c>
      <c r="W286" s="1">
        <v>85</v>
      </c>
      <c r="X286" s="1">
        <v>193</v>
      </c>
      <c r="Y286" s="5">
        <f>STREAMS_STATS[[#This Row],[Duration]]/60</f>
        <v>3.2166666666666668</v>
      </c>
      <c r="Z286" s="1">
        <v>19</v>
      </c>
      <c r="AA286" s="1">
        <v>7</v>
      </c>
      <c r="AB286" s="1">
        <v>56</v>
      </c>
    </row>
    <row r="287" spans="1:28">
      <c r="A287" t="s">
        <v>497</v>
      </c>
      <c r="B287" s="1" t="s">
        <v>38</v>
      </c>
      <c r="C287" s="1" t="s">
        <v>25</v>
      </c>
      <c r="D287" s="1">
        <v>2012</v>
      </c>
      <c r="E287" s="3">
        <v>1367810478</v>
      </c>
      <c r="F287" s="3" t="str" cm="1">
        <f t="array" ref="F287">_xlfn.IFS(STREAMS_STATS[[#This Row],[Streams]] &gt;= 1000000000, "1B+", STREAMS_STATS[[#This Row],[Streams]] &gt;= 500000000, "500M–1B", STREAMS_STATS[[#This Row],[Streams]] &gt;= 250000000, "250M–500M", TRUE, "Under 250M")</f>
        <v>1B+</v>
      </c>
      <c r="G287" s="1">
        <v>14994</v>
      </c>
      <c r="H287" s="1">
        <v>40</v>
      </c>
      <c r="I287" s="1">
        <v>119</v>
      </c>
      <c r="J287" s="1">
        <v>35040</v>
      </c>
      <c r="K287" s="1">
        <v>94</v>
      </c>
      <c r="L287" s="1">
        <v>6562</v>
      </c>
      <c r="M287" s="1">
        <v>173</v>
      </c>
      <c r="N287" s="1">
        <v>25744</v>
      </c>
      <c r="O287" s="1">
        <v>75</v>
      </c>
      <c r="P287" s="2">
        <f>SUM(STREAMS_STATS[[#This Row],[In Spotify Playlists]],STREAMS_STATS[[#This Row],[In Apple Playlists]],STREAMS_STATS[[#This Row],[In Deezer Playlists]],STREAMS_STATS[[#This Row],[In YouTube Playlists]])</f>
        <v>82340</v>
      </c>
      <c r="Q287" s="1">
        <v>144</v>
      </c>
      <c r="R287" s="1">
        <v>-4</v>
      </c>
      <c r="S287" s="1" t="s">
        <v>75</v>
      </c>
      <c r="T287" s="1">
        <v>70</v>
      </c>
      <c r="U287" s="1">
        <v>73</v>
      </c>
      <c r="V287" s="1">
        <v>31</v>
      </c>
      <c r="W287" s="1">
        <v>87</v>
      </c>
      <c r="X287" s="1">
        <v>233</v>
      </c>
      <c r="Y287" s="5">
        <f>STREAMS_STATS[[#This Row],[Duration]]/60</f>
        <v>3.8833333333333333</v>
      </c>
      <c r="Z287" s="1">
        <v>5</v>
      </c>
      <c r="AA287" s="1">
        <v>4</v>
      </c>
      <c r="AB287" s="1">
        <v>96</v>
      </c>
    </row>
    <row r="288" spans="1:28">
      <c r="A288" t="s">
        <v>498</v>
      </c>
      <c r="B288" s="1" t="s">
        <v>77</v>
      </c>
      <c r="C288" s="1" t="s">
        <v>25</v>
      </c>
      <c r="D288" s="1">
        <v>2018</v>
      </c>
      <c r="E288" s="3">
        <v>838079900</v>
      </c>
      <c r="F288" s="3" t="str" cm="1">
        <f t="array" ref="F28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88" s="1">
        <v>7545</v>
      </c>
      <c r="H288" s="1">
        <v>230</v>
      </c>
      <c r="I288" s="1">
        <v>116</v>
      </c>
      <c r="J288" s="1">
        <v>9757</v>
      </c>
      <c r="K288" s="1">
        <v>116</v>
      </c>
      <c r="L288" s="1">
        <v>266</v>
      </c>
      <c r="M288" s="1">
        <v>21</v>
      </c>
      <c r="N288" s="1">
        <v>17834</v>
      </c>
      <c r="O288" s="1">
        <v>132</v>
      </c>
      <c r="P288" s="2">
        <f>SUM(STREAMS_STATS[[#This Row],[In Spotify Playlists]],STREAMS_STATS[[#This Row],[In Apple Playlists]],STREAMS_STATS[[#This Row],[In Deezer Playlists]],STREAMS_STATS[[#This Row],[In YouTube Playlists]])</f>
        <v>35402</v>
      </c>
      <c r="Q288" s="1">
        <v>128</v>
      </c>
      <c r="R288" s="1">
        <v>-6</v>
      </c>
      <c r="S288" s="1" t="s">
        <v>68</v>
      </c>
      <c r="T288" s="1">
        <v>71</v>
      </c>
      <c r="U288" s="1">
        <v>77</v>
      </c>
      <c r="V288" s="1">
        <v>13</v>
      </c>
      <c r="W288" s="1">
        <v>51</v>
      </c>
      <c r="X288" s="1">
        <v>212</v>
      </c>
      <c r="Y288" s="5">
        <f>STREAMS_STATS[[#This Row],[Duration]]/60</f>
        <v>3.5333333333333332</v>
      </c>
      <c r="Z288" s="1">
        <v>20</v>
      </c>
      <c r="AA288" s="1">
        <v>12</v>
      </c>
      <c r="AB288" s="1">
        <v>92</v>
      </c>
    </row>
    <row r="289" spans="1:28">
      <c r="A289" t="s">
        <v>499</v>
      </c>
      <c r="B289" s="1" t="s">
        <v>140</v>
      </c>
      <c r="C289" s="1" t="s">
        <v>67</v>
      </c>
      <c r="D289" s="1">
        <v>2019</v>
      </c>
      <c r="E289" s="3">
        <v>3562543890</v>
      </c>
      <c r="F289" s="3" t="str" cm="1">
        <f t="array" ref="F289">_xlfn.IFS(STREAMS_STATS[[#This Row],[Streams]] &gt;= 1000000000, "1B+", STREAMS_STATS[[#This Row],[Streams]] &gt;= 500000000, "500M–1B", STREAMS_STATS[[#This Row],[Streams]] &gt;= 250000000, "250M–500M", TRUE, "Under 250M")</f>
        <v>1B+</v>
      </c>
      <c r="G289" s="1">
        <v>51979</v>
      </c>
      <c r="H289" s="1">
        <v>1</v>
      </c>
      <c r="I289" s="1">
        <v>1</v>
      </c>
      <c r="J289" s="1">
        <v>26984</v>
      </c>
      <c r="K289" s="1">
        <v>1</v>
      </c>
      <c r="L289" s="2">
        <v>8215</v>
      </c>
      <c r="M289" s="1">
        <v>2</v>
      </c>
      <c r="N289" s="1">
        <v>18606</v>
      </c>
      <c r="O289" s="1">
        <v>35</v>
      </c>
      <c r="P289" s="2">
        <f>SUM(STREAMS_STATS[[#This Row],[In Spotify Playlists]],STREAMS_STATS[[#This Row],[In Apple Playlists]],STREAMS_STATS[[#This Row],[In Deezer Playlists]],STREAMS_STATS[[#This Row],[In YouTube Playlists]])</f>
        <v>105784</v>
      </c>
      <c r="Q289" s="1">
        <v>102</v>
      </c>
      <c r="R289" s="1">
        <v>-9</v>
      </c>
      <c r="S289" s="1" t="s">
        <v>68</v>
      </c>
      <c r="T289" s="1">
        <v>34</v>
      </c>
      <c r="U289" s="1">
        <v>51</v>
      </c>
      <c r="V289" s="1">
        <v>21</v>
      </c>
      <c r="W289" s="1">
        <v>9</v>
      </c>
      <c r="X289" s="1">
        <v>206</v>
      </c>
      <c r="Y289" s="5">
        <f>STREAMS_STATS[[#This Row],[Duration]]/60</f>
        <v>3.4333333333333331</v>
      </c>
      <c r="Z289" s="1">
        <v>58</v>
      </c>
      <c r="AA289" s="1">
        <v>4</v>
      </c>
      <c r="AB289" s="1">
        <v>85</v>
      </c>
    </row>
    <row r="290" spans="1:28">
      <c r="A290" t="s">
        <v>500</v>
      </c>
      <c r="B290" s="1" t="s">
        <v>354</v>
      </c>
      <c r="C290" s="1" t="s">
        <v>355</v>
      </c>
      <c r="D290" s="1">
        <v>2013</v>
      </c>
      <c r="E290" s="3">
        <v>674072710</v>
      </c>
      <c r="F290" s="3" t="str" cm="1">
        <f t="array" ref="F29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90" s="1">
        <v>5542</v>
      </c>
      <c r="H290" s="1">
        <v>357</v>
      </c>
      <c r="I290" s="1">
        <v>199</v>
      </c>
      <c r="J290" s="1">
        <v>35563</v>
      </c>
      <c r="K290" s="1">
        <v>199</v>
      </c>
      <c r="L290" s="2">
        <v>3421</v>
      </c>
      <c r="M290" s="1">
        <v>20</v>
      </c>
      <c r="N290" s="1">
        <v>24104</v>
      </c>
      <c r="O290" s="1">
        <v>362</v>
      </c>
      <c r="P290" s="2">
        <f>SUM(STREAMS_STATS[[#This Row],[In Spotify Playlists]],STREAMS_STATS[[#This Row],[In Apple Playlists]],STREAMS_STATS[[#This Row],[In Deezer Playlists]],STREAMS_STATS[[#This Row],[In YouTube Playlists]])</f>
        <v>68630</v>
      </c>
      <c r="Q290" s="1">
        <v>100</v>
      </c>
      <c r="R290" s="1">
        <v>-8</v>
      </c>
      <c r="S290" s="1" t="s">
        <v>75</v>
      </c>
      <c r="T290" s="1">
        <v>66</v>
      </c>
      <c r="U290" s="1">
        <v>83</v>
      </c>
      <c r="V290" s="1">
        <v>8</v>
      </c>
      <c r="W290" s="1">
        <v>67</v>
      </c>
      <c r="X290" s="1">
        <v>354</v>
      </c>
      <c r="Y290" s="5">
        <f>STREAMS_STATS[[#This Row],[Duration]]/60</f>
        <v>5.9</v>
      </c>
      <c r="Z290" s="1">
        <v>8</v>
      </c>
      <c r="AA290" s="1">
        <v>6</v>
      </c>
      <c r="AB290" s="1">
        <v>81</v>
      </c>
    </row>
    <row r="291" spans="1:28">
      <c r="A291" t="s">
        <v>501</v>
      </c>
      <c r="B291" s="1" t="s">
        <v>502</v>
      </c>
      <c r="C291" s="1" t="s">
        <v>287</v>
      </c>
      <c r="D291" s="1">
        <v>2017</v>
      </c>
      <c r="E291" s="3">
        <v>618990393</v>
      </c>
      <c r="F291" s="3" t="str" cm="1">
        <f t="array" ref="F29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91" s="1">
        <v>5148</v>
      </c>
      <c r="H291" s="1">
        <v>403</v>
      </c>
      <c r="I291" s="1">
        <v>11</v>
      </c>
      <c r="J291" s="1">
        <v>35168</v>
      </c>
      <c r="K291" s="1">
        <v>11</v>
      </c>
      <c r="L291" s="1">
        <v>40</v>
      </c>
      <c r="M291" s="1">
        <v>48</v>
      </c>
      <c r="N291" s="1">
        <v>18656</v>
      </c>
      <c r="O291" s="1">
        <v>313</v>
      </c>
      <c r="P291" s="2">
        <f>SUM(STREAMS_STATS[[#This Row],[In Spotify Playlists]],STREAMS_STATS[[#This Row],[In Apple Playlists]],STREAMS_STATS[[#This Row],[In Deezer Playlists]],STREAMS_STATS[[#This Row],[In YouTube Playlists]])</f>
        <v>59012</v>
      </c>
      <c r="Q291" s="1">
        <v>99</v>
      </c>
      <c r="R291" s="1">
        <v>-11</v>
      </c>
      <c r="S291" s="1" t="s">
        <v>68</v>
      </c>
      <c r="T291" s="1">
        <v>37</v>
      </c>
      <c r="U291" s="1">
        <v>53</v>
      </c>
      <c r="V291" s="1">
        <v>11</v>
      </c>
      <c r="W291" s="1">
        <v>23</v>
      </c>
      <c r="X291" s="1">
        <v>273</v>
      </c>
      <c r="Y291" s="5">
        <f>STREAMS_STATS[[#This Row],[Duration]]/60</f>
        <v>4.55</v>
      </c>
      <c r="Z291" s="1">
        <v>49</v>
      </c>
      <c r="AA291" s="1">
        <v>3</v>
      </c>
      <c r="AB291" s="1">
        <v>66</v>
      </c>
    </row>
    <row r="292" spans="1:28">
      <c r="A292" t="s">
        <v>503</v>
      </c>
      <c r="B292" s="1" t="s">
        <v>504</v>
      </c>
      <c r="C292" s="1" t="s">
        <v>505</v>
      </c>
      <c r="D292" s="1">
        <v>2017</v>
      </c>
      <c r="E292" s="3">
        <v>298063749</v>
      </c>
      <c r="F292" s="3" t="str" cm="1">
        <f t="array" ref="F29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92" s="1">
        <v>2291</v>
      </c>
      <c r="H292" s="1">
        <v>122</v>
      </c>
      <c r="I292" s="1">
        <v>20</v>
      </c>
      <c r="J292" s="1">
        <v>181</v>
      </c>
      <c r="K292" s="1">
        <v>24</v>
      </c>
      <c r="L292" s="1">
        <v>356</v>
      </c>
      <c r="M292" s="1">
        <v>3</v>
      </c>
      <c r="N292" s="1">
        <v>13982</v>
      </c>
      <c r="O292" s="1">
        <v>248</v>
      </c>
      <c r="P292" s="2">
        <f>SUM(STREAMS_STATS[[#This Row],[In Spotify Playlists]],STREAMS_STATS[[#This Row],[In Apple Playlists]],STREAMS_STATS[[#This Row],[In Deezer Playlists]],STREAMS_STATS[[#This Row],[In YouTube Playlists]])</f>
        <v>16810</v>
      </c>
      <c r="Q292" s="1">
        <v>167</v>
      </c>
      <c r="R292" s="1">
        <v>-9</v>
      </c>
      <c r="S292" s="1" t="s">
        <v>75</v>
      </c>
      <c r="T292" s="1">
        <v>50</v>
      </c>
      <c r="U292" s="1">
        <v>37</v>
      </c>
      <c r="V292" s="1">
        <v>20</v>
      </c>
      <c r="W292" s="1">
        <v>21</v>
      </c>
      <c r="X292" s="1">
        <v>180</v>
      </c>
      <c r="Y292" s="5">
        <f>STREAMS_STATS[[#This Row],[Duration]]/60</f>
        <v>3</v>
      </c>
      <c r="Z292" s="1">
        <v>6</v>
      </c>
      <c r="AA292" s="1">
        <v>12</v>
      </c>
      <c r="AB292" s="1">
        <v>83</v>
      </c>
    </row>
    <row r="293" spans="1:28">
      <c r="A293" t="s">
        <v>506</v>
      </c>
      <c r="B293" s="1" t="s">
        <v>507</v>
      </c>
      <c r="C293" s="1" t="s">
        <v>25</v>
      </c>
      <c r="D293" s="1">
        <v>2014</v>
      </c>
      <c r="E293" s="3">
        <v>721975598</v>
      </c>
      <c r="F293" s="3" t="str" cm="1">
        <f t="array" ref="F29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93" s="1">
        <v>6308</v>
      </c>
      <c r="H293" s="1">
        <v>170</v>
      </c>
      <c r="I293" s="1">
        <v>70</v>
      </c>
      <c r="J293" s="1">
        <v>14594</v>
      </c>
      <c r="K293" s="1">
        <v>70</v>
      </c>
      <c r="L293" s="2">
        <v>1089</v>
      </c>
      <c r="M293" s="1">
        <v>2</v>
      </c>
      <c r="N293" s="1">
        <v>6443</v>
      </c>
      <c r="O293" s="1">
        <v>211</v>
      </c>
      <c r="P293" s="2">
        <f>SUM(STREAMS_STATS[[#This Row],[In Spotify Playlists]],STREAMS_STATS[[#This Row],[In Apple Playlists]],STREAMS_STATS[[#This Row],[In Deezer Playlists]],STREAMS_STATS[[#This Row],[In YouTube Playlists]])</f>
        <v>28434</v>
      </c>
      <c r="Q293" s="1">
        <v>126</v>
      </c>
      <c r="R293" s="1">
        <v>-5</v>
      </c>
      <c r="S293" s="1" t="s">
        <v>75</v>
      </c>
      <c r="T293" s="1">
        <v>89</v>
      </c>
      <c r="U293" s="1">
        <v>50</v>
      </c>
      <c r="V293" s="1">
        <v>10</v>
      </c>
      <c r="W293" s="1">
        <v>21</v>
      </c>
      <c r="X293" s="1">
        <v>240</v>
      </c>
      <c r="Y293" s="5">
        <f>STREAMS_STATS[[#This Row],[Duration]]/60</f>
        <v>4</v>
      </c>
      <c r="Z293" s="1">
        <v>0</v>
      </c>
      <c r="AA293" s="1">
        <v>4</v>
      </c>
      <c r="AB293" s="1">
        <v>84</v>
      </c>
    </row>
    <row r="294" spans="1:28">
      <c r="A294" t="s">
        <v>508</v>
      </c>
      <c r="B294" s="1" t="s">
        <v>40</v>
      </c>
      <c r="C294" s="1" t="s">
        <v>67</v>
      </c>
      <c r="D294" s="1">
        <v>2015</v>
      </c>
      <c r="E294" s="3">
        <v>972164968</v>
      </c>
      <c r="F294" s="3" t="str" cm="1">
        <f t="array" ref="F29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94" s="1">
        <v>8576</v>
      </c>
      <c r="H294" s="1">
        <v>63</v>
      </c>
      <c r="I294" s="1">
        <v>3</v>
      </c>
      <c r="J294" s="1">
        <v>32760</v>
      </c>
      <c r="K294" s="1">
        <v>3</v>
      </c>
      <c r="L294" s="1">
        <v>15</v>
      </c>
      <c r="M294" s="1">
        <v>28</v>
      </c>
      <c r="N294" s="1">
        <v>1961</v>
      </c>
      <c r="O294" s="1">
        <v>268</v>
      </c>
      <c r="P294" s="2">
        <f>SUM(STREAMS_STATS[[#This Row],[In Spotify Playlists]],STREAMS_STATS[[#This Row],[In Apple Playlists]],STREAMS_STATS[[#This Row],[In Deezer Playlists]],STREAMS_STATS[[#This Row],[In YouTube Playlists]])</f>
        <v>43312</v>
      </c>
      <c r="Q294" s="1">
        <v>99</v>
      </c>
      <c r="R294" s="1">
        <v>-4</v>
      </c>
      <c r="S294" s="1" t="s">
        <v>75</v>
      </c>
      <c r="T294" s="1">
        <v>71</v>
      </c>
      <c r="U294" s="1">
        <v>47</v>
      </c>
      <c r="V294" s="1">
        <v>8</v>
      </c>
      <c r="W294" s="1">
        <v>24</v>
      </c>
      <c r="X294" s="1">
        <v>236</v>
      </c>
      <c r="Y294" s="5">
        <f>STREAMS_STATS[[#This Row],[Duration]]/60</f>
        <v>3.9333333333333331</v>
      </c>
      <c r="Z294" s="1">
        <v>1</v>
      </c>
      <c r="AA294" s="1">
        <v>3</v>
      </c>
      <c r="AB294" s="1">
        <v>77</v>
      </c>
    </row>
    <row r="295" spans="1:28">
      <c r="A295" t="s">
        <v>509</v>
      </c>
      <c r="B295" s="1" t="s">
        <v>408</v>
      </c>
      <c r="C295" s="1" t="s">
        <v>67</v>
      </c>
      <c r="D295" s="1">
        <v>2015</v>
      </c>
      <c r="E295" s="3">
        <v>374191487</v>
      </c>
      <c r="F295" s="3" t="str" cm="1">
        <f t="array" ref="F29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295" s="1">
        <v>2948</v>
      </c>
      <c r="H295" s="1">
        <v>285</v>
      </c>
      <c r="I295" s="1">
        <v>1</v>
      </c>
      <c r="J295" s="1">
        <v>18822</v>
      </c>
      <c r="K295" s="1">
        <v>1</v>
      </c>
      <c r="L295" s="1">
        <v>31</v>
      </c>
      <c r="M295" s="1">
        <v>1</v>
      </c>
      <c r="N295" s="1">
        <v>36270</v>
      </c>
      <c r="O295" s="1">
        <v>245</v>
      </c>
      <c r="P295" s="2">
        <f>SUM(STREAMS_STATS[[#This Row],[In Spotify Playlists]],STREAMS_STATS[[#This Row],[In Apple Playlists]],STREAMS_STATS[[#This Row],[In Deezer Playlists]],STREAMS_STATS[[#This Row],[In YouTube Playlists]])</f>
        <v>58071</v>
      </c>
      <c r="Q295" s="1">
        <v>106</v>
      </c>
      <c r="R295" s="1">
        <v>-4</v>
      </c>
      <c r="S295" s="1" t="s">
        <v>68</v>
      </c>
      <c r="T295" s="1">
        <v>67</v>
      </c>
      <c r="U295" s="1">
        <v>79</v>
      </c>
      <c r="V295" s="1">
        <v>28</v>
      </c>
      <c r="W295" s="1">
        <v>85</v>
      </c>
      <c r="X295" s="1">
        <v>198</v>
      </c>
      <c r="Y295" s="5">
        <f>STREAMS_STATS[[#This Row],[Duration]]/60</f>
        <v>3.3</v>
      </c>
      <c r="Z295" s="1">
        <v>21</v>
      </c>
      <c r="AA295" s="1">
        <v>4</v>
      </c>
      <c r="AB295" s="1">
        <v>90</v>
      </c>
    </row>
    <row r="296" spans="1:28">
      <c r="A296" t="s">
        <v>510</v>
      </c>
      <c r="B296" s="1" t="s">
        <v>126</v>
      </c>
      <c r="C296" s="1" t="s">
        <v>67</v>
      </c>
      <c r="D296" s="1">
        <v>2015</v>
      </c>
      <c r="E296" s="3">
        <v>1329090101</v>
      </c>
      <c r="F296" s="3" t="str" cm="1">
        <f t="array" ref="F296">_xlfn.IFS(STREAMS_STATS[[#This Row],[Streams]] &gt;= 1000000000, "1B+", STREAMS_STATS[[#This Row],[Streams]] &gt;= 500000000, "500M–1B", STREAMS_STATS[[#This Row],[Streams]] &gt;= 250000000, "250M–500M", TRUE, "Under 250M")</f>
        <v>1B+</v>
      </c>
      <c r="G296" s="1">
        <v>14169</v>
      </c>
      <c r="H296" s="1">
        <v>58</v>
      </c>
      <c r="I296" s="1">
        <v>22</v>
      </c>
      <c r="J296" s="1">
        <v>28627</v>
      </c>
      <c r="K296" s="1">
        <v>22</v>
      </c>
      <c r="L296" s="1">
        <v>12</v>
      </c>
      <c r="M296" s="1">
        <v>7</v>
      </c>
      <c r="N296" s="1">
        <v>35613</v>
      </c>
      <c r="O296" s="1">
        <v>164</v>
      </c>
      <c r="P296" s="2">
        <f>SUM(STREAMS_STATS[[#This Row],[In Spotify Playlists]],STREAMS_STATS[[#This Row],[In Apple Playlists]],STREAMS_STATS[[#This Row],[In Deezer Playlists]],STREAMS_STATS[[#This Row],[In YouTube Playlists]])</f>
        <v>78421</v>
      </c>
      <c r="Q296" s="1">
        <v>190</v>
      </c>
      <c r="R296" s="1">
        <v>-7</v>
      </c>
      <c r="S296" s="1" t="s">
        <v>68</v>
      </c>
      <c r="T296" s="1">
        <v>61</v>
      </c>
      <c r="U296" s="1">
        <v>26</v>
      </c>
      <c r="V296" s="1">
        <v>13</v>
      </c>
      <c r="W296" s="1">
        <v>28</v>
      </c>
      <c r="X296" s="1">
        <v>253</v>
      </c>
      <c r="Y296" s="5">
        <f>STREAMS_STATS[[#This Row],[Duration]]/60</f>
        <v>4.2166666666666668</v>
      </c>
      <c r="Z296" s="1">
        <v>25</v>
      </c>
      <c r="AA296" s="1">
        <v>5</v>
      </c>
      <c r="AB296" s="1">
        <v>85</v>
      </c>
    </row>
    <row r="297" spans="1:28">
      <c r="A297" t="s">
        <v>511</v>
      </c>
      <c r="B297" s="1" t="s">
        <v>512</v>
      </c>
      <c r="C297" s="1" t="s">
        <v>25</v>
      </c>
      <c r="D297" s="1">
        <v>2014</v>
      </c>
      <c r="E297" s="3">
        <v>601863821</v>
      </c>
      <c r="F297" s="3" t="str" cm="1">
        <f t="array" ref="F29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297" s="1">
        <v>4890</v>
      </c>
      <c r="H297" s="1">
        <v>447</v>
      </c>
      <c r="I297" s="1">
        <v>75</v>
      </c>
      <c r="J297" s="1">
        <v>16015</v>
      </c>
      <c r="K297" s="1">
        <v>75</v>
      </c>
      <c r="L297" s="1">
        <v>9</v>
      </c>
      <c r="M297" s="1">
        <v>7</v>
      </c>
      <c r="N297" s="1">
        <v>11257</v>
      </c>
      <c r="O297" s="1">
        <v>399</v>
      </c>
      <c r="P297" s="2">
        <f>SUM(STREAMS_STATS[[#This Row],[In Spotify Playlists]],STREAMS_STATS[[#This Row],[In Apple Playlists]],STREAMS_STATS[[#This Row],[In Deezer Playlists]],STREAMS_STATS[[#This Row],[In YouTube Playlists]])</f>
        <v>32171</v>
      </c>
      <c r="Q297" s="1">
        <v>118</v>
      </c>
      <c r="R297" s="1">
        <v>-6</v>
      </c>
      <c r="S297" s="1" t="s">
        <v>75</v>
      </c>
      <c r="T297" s="1">
        <v>72</v>
      </c>
      <c r="U297" s="1">
        <v>78</v>
      </c>
      <c r="V297" s="1">
        <v>7</v>
      </c>
      <c r="W297" s="1">
        <v>71</v>
      </c>
      <c r="X297" s="1">
        <v>246</v>
      </c>
      <c r="Y297" s="5">
        <f>STREAMS_STATS[[#This Row],[Duration]]/60</f>
        <v>4.0999999999999996</v>
      </c>
      <c r="Z297" s="1">
        <v>13</v>
      </c>
      <c r="AA297" s="1">
        <v>4</v>
      </c>
      <c r="AB297" s="1">
        <v>71</v>
      </c>
    </row>
    <row r="298" spans="1:28">
      <c r="A298" t="s">
        <v>513</v>
      </c>
      <c r="B298" s="1" t="s">
        <v>39</v>
      </c>
      <c r="C298" s="1" t="s">
        <v>115</v>
      </c>
      <c r="D298" s="1">
        <v>2018</v>
      </c>
      <c r="E298" s="3">
        <v>1714490998</v>
      </c>
      <c r="F298" s="3" t="str" cm="1">
        <f t="array" ref="F298">_xlfn.IFS(STREAMS_STATS[[#This Row],[Streams]] &gt;= 1000000000, "1B+", STREAMS_STATS[[#This Row],[Streams]] &gt;= 500000000, "500M–1B", STREAMS_STATS[[#This Row],[Streams]] &gt;= 250000000, "250M–500M", TRUE, "Under 250M")</f>
        <v>1B+</v>
      </c>
      <c r="G298" s="1">
        <v>21574</v>
      </c>
      <c r="H298" s="1">
        <v>21</v>
      </c>
      <c r="I298" s="1">
        <v>5</v>
      </c>
      <c r="J298" s="1">
        <v>2397</v>
      </c>
      <c r="K298" s="1">
        <v>5</v>
      </c>
      <c r="L298" s="1">
        <v>577</v>
      </c>
      <c r="M298" s="1">
        <v>45</v>
      </c>
      <c r="N298" s="1">
        <v>22909</v>
      </c>
      <c r="O298" s="1">
        <v>170</v>
      </c>
      <c r="P298" s="2">
        <f>SUM(STREAMS_STATS[[#This Row],[In Spotify Playlists]],STREAMS_STATS[[#This Row],[In Apple Playlists]],STREAMS_STATS[[#This Row],[In Deezer Playlists]],STREAMS_STATS[[#This Row],[In YouTube Playlists]])</f>
        <v>47457</v>
      </c>
      <c r="Q298" s="1">
        <v>172</v>
      </c>
      <c r="R298" s="1">
        <v>-5</v>
      </c>
      <c r="S298" s="1" t="s">
        <v>68</v>
      </c>
      <c r="T298" s="1">
        <v>64</v>
      </c>
      <c r="U298" s="1">
        <v>51</v>
      </c>
      <c r="V298" s="1">
        <v>8</v>
      </c>
      <c r="W298" s="1">
        <v>38</v>
      </c>
      <c r="X298" s="1">
        <v>224</v>
      </c>
      <c r="Y298" s="5">
        <f>STREAMS_STATS[[#This Row],[Duration]]/60</f>
        <v>3.7333333333333334</v>
      </c>
      <c r="Z298" s="1">
        <v>7</v>
      </c>
      <c r="AA298" s="1">
        <v>5</v>
      </c>
      <c r="AB298" s="1">
        <v>82</v>
      </c>
    </row>
    <row r="299" spans="1:28">
      <c r="A299" t="s">
        <v>514</v>
      </c>
      <c r="B299" s="1" t="s">
        <v>69</v>
      </c>
      <c r="C299" s="1" t="s">
        <v>67</v>
      </c>
      <c r="D299" s="1">
        <v>2011</v>
      </c>
      <c r="E299" s="3">
        <v>1007612429</v>
      </c>
      <c r="F299" s="3" t="str" cm="1">
        <f t="array" ref="F299">_xlfn.IFS(STREAMS_STATS[[#This Row],[Streams]] &gt;= 1000000000, "1B+", STREAMS_STATS[[#This Row],[Streams]] &gt;= 500000000, "500M–1B", STREAMS_STATS[[#This Row],[Streams]] &gt;= 250000000, "250M–500M", TRUE, "Under 250M")</f>
        <v>1B+</v>
      </c>
      <c r="G299" s="1">
        <v>9021</v>
      </c>
      <c r="H299" s="1">
        <v>89</v>
      </c>
      <c r="I299" s="1">
        <v>308</v>
      </c>
      <c r="J299" s="1">
        <v>11235</v>
      </c>
      <c r="K299" s="1">
        <v>72</v>
      </c>
      <c r="L299" s="1">
        <v>2236</v>
      </c>
      <c r="M299" s="1">
        <v>172</v>
      </c>
      <c r="N299" s="1">
        <v>14245</v>
      </c>
      <c r="O299" s="1">
        <v>296</v>
      </c>
      <c r="P299" s="2">
        <f>SUM(STREAMS_STATS[[#This Row],[In Spotify Playlists]],STREAMS_STATS[[#This Row],[In Apple Playlists]],STREAMS_STATS[[#This Row],[In Deezer Playlists]],STREAMS_STATS[[#This Row],[In YouTube Playlists]])</f>
        <v>36737</v>
      </c>
      <c r="Q299" s="1">
        <v>94</v>
      </c>
      <c r="R299" s="1">
        <v>-5</v>
      </c>
      <c r="S299" s="1" t="s">
        <v>75</v>
      </c>
      <c r="T299" s="1">
        <v>75</v>
      </c>
      <c r="U299" s="1">
        <v>65</v>
      </c>
      <c r="V299" s="1">
        <v>60</v>
      </c>
      <c r="W299" s="1">
        <v>65</v>
      </c>
      <c r="X299" s="1">
        <v>267</v>
      </c>
      <c r="Y299" s="5">
        <f>STREAMS_STATS[[#This Row],[Duration]]/60</f>
        <v>4.45</v>
      </c>
      <c r="Z299" s="1">
        <v>8</v>
      </c>
      <c r="AA299" s="1">
        <v>9</v>
      </c>
      <c r="AB299" s="1">
        <v>76</v>
      </c>
    </row>
    <row r="300" spans="1:28">
      <c r="A300" t="s">
        <v>515</v>
      </c>
      <c r="B300" s="1" t="s">
        <v>112</v>
      </c>
      <c r="C300" s="1" t="s">
        <v>67</v>
      </c>
      <c r="D300" s="1">
        <v>2014</v>
      </c>
      <c r="E300" s="3">
        <v>415932686</v>
      </c>
      <c r="F300" s="3" t="str" cm="1">
        <f t="array" ref="F30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00" s="1">
        <v>3270</v>
      </c>
      <c r="H300" s="1">
        <v>322</v>
      </c>
      <c r="I300" s="1">
        <v>1</v>
      </c>
      <c r="J300" s="1">
        <v>33106</v>
      </c>
      <c r="K300" s="1">
        <v>1</v>
      </c>
      <c r="L300" s="1">
        <v>3</v>
      </c>
      <c r="M300" s="1">
        <v>24</v>
      </c>
      <c r="N300" s="1">
        <v>37734</v>
      </c>
      <c r="O300" s="1">
        <v>301</v>
      </c>
      <c r="P300" s="2">
        <f>SUM(STREAMS_STATS[[#This Row],[In Spotify Playlists]],STREAMS_STATS[[#This Row],[In Apple Playlists]],STREAMS_STATS[[#This Row],[In Deezer Playlists]],STREAMS_STATS[[#This Row],[In YouTube Playlists]])</f>
        <v>74113</v>
      </c>
      <c r="Q300" s="1">
        <v>120</v>
      </c>
      <c r="R300" s="1">
        <v>-4</v>
      </c>
      <c r="S300" s="1" t="s">
        <v>75</v>
      </c>
      <c r="T300" s="1">
        <v>93</v>
      </c>
      <c r="U300" s="1">
        <v>72</v>
      </c>
      <c r="V300" s="1">
        <v>8</v>
      </c>
      <c r="W300" s="1">
        <v>74</v>
      </c>
      <c r="X300" s="1">
        <v>225</v>
      </c>
      <c r="Y300" s="5">
        <f>STREAMS_STATS[[#This Row],[Duration]]/60</f>
        <v>3.75</v>
      </c>
      <c r="Z300" s="1">
        <v>17</v>
      </c>
      <c r="AA300" s="1">
        <v>6</v>
      </c>
      <c r="AB300" s="1">
        <v>66</v>
      </c>
    </row>
    <row r="301" spans="1:28">
      <c r="A301" t="s">
        <v>516</v>
      </c>
      <c r="B301" s="1" t="s">
        <v>32</v>
      </c>
      <c r="C301" s="1" t="s">
        <v>25</v>
      </c>
      <c r="D301" s="1">
        <v>2013</v>
      </c>
      <c r="E301" s="3">
        <v>387570742</v>
      </c>
      <c r="F301" s="3" t="str" cm="1">
        <f t="array" ref="F30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01" s="1">
        <v>3006</v>
      </c>
      <c r="H301" s="1">
        <v>308</v>
      </c>
      <c r="I301" s="1">
        <v>4</v>
      </c>
      <c r="J301" s="1">
        <v>35727</v>
      </c>
      <c r="K301" s="1">
        <v>4</v>
      </c>
      <c r="L301" s="1">
        <v>23</v>
      </c>
      <c r="M301" s="1">
        <v>15</v>
      </c>
      <c r="N301" s="1">
        <v>24534</v>
      </c>
      <c r="O301" s="1">
        <v>399</v>
      </c>
      <c r="P301" s="2">
        <f>SUM(STREAMS_STATS[[#This Row],[In Spotify Playlists]],STREAMS_STATS[[#This Row],[In Apple Playlists]],STREAMS_STATS[[#This Row],[In Deezer Playlists]],STREAMS_STATS[[#This Row],[In YouTube Playlists]])</f>
        <v>63290</v>
      </c>
      <c r="Q301" s="1">
        <v>120</v>
      </c>
      <c r="R301" s="1">
        <v>-6</v>
      </c>
      <c r="S301" s="1" t="s">
        <v>68</v>
      </c>
      <c r="T301" s="1">
        <v>78</v>
      </c>
      <c r="U301" s="1">
        <v>68</v>
      </c>
      <c r="V301" s="1">
        <v>12</v>
      </c>
      <c r="W301" s="1">
        <v>40</v>
      </c>
      <c r="X301" s="1">
        <v>230</v>
      </c>
      <c r="Y301" s="5">
        <f>STREAMS_STATS[[#This Row],[Duration]]/60</f>
        <v>3.8333333333333335</v>
      </c>
      <c r="Z301" s="1">
        <v>13</v>
      </c>
      <c r="AA301" s="1">
        <v>4</v>
      </c>
      <c r="AB301" s="1">
        <v>96</v>
      </c>
    </row>
    <row r="302" spans="1:28">
      <c r="A302" t="s">
        <v>517</v>
      </c>
      <c r="B302" s="1" t="s">
        <v>518</v>
      </c>
      <c r="C302" s="1" t="s">
        <v>519</v>
      </c>
      <c r="D302" s="1">
        <v>2010</v>
      </c>
      <c r="E302" s="3">
        <v>1763363713</v>
      </c>
      <c r="F302" s="3" t="str" cm="1">
        <f t="array" ref="F302">_xlfn.IFS(STREAMS_STATS[[#This Row],[Streams]] &gt;= 1000000000, "1B+", STREAMS_STATS[[#This Row],[Streams]] &gt;= 500000000, "500M–1B", STREAMS_STATS[[#This Row],[Streams]] &gt;= 250000000, "250M–500M", TRUE, "Under 250M")</f>
        <v>1B+</v>
      </c>
      <c r="G302" s="1">
        <v>22439</v>
      </c>
      <c r="H302" s="1">
        <v>20</v>
      </c>
      <c r="I302" s="1">
        <v>152</v>
      </c>
      <c r="J302" s="1">
        <v>16735</v>
      </c>
      <c r="K302" s="1">
        <v>53</v>
      </c>
      <c r="L302" s="1">
        <v>9245</v>
      </c>
      <c r="M302" s="1">
        <v>178</v>
      </c>
      <c r="N302" s="1">
        <v>30159</v>
      </c>
      <c r="O302" s="1">
        <v>331</v>
      </c>
      <c r="P302" s="2">
        <f>SUM(STREAMS_STATS[[#This Row],[In Spotify Playlists]],STREAMS_STATS[[#This Row],[In Apple Playlists]],STREAMS_STATS[[#This Row],[In Deezer Playlists]],STREAMS_STATS[[#This Row],[In YouTube Playlists]])</f>
        <v>78578</v>
      </c>
      <c r="Q302" s="1">
        <v>87</v>
      </c>
      <c r="R302" s="1">
        <v>-5</v>
      </c>
      <c r="S302" s="1" t="s">
        <v>68</v>
      </c>
      <c r="T302" s="1">
        <v>93</v>
      </c>
      <c r="U302" s="1">
        <v>75</v>
      </c>
      <c r="V302" s="1">
        <v>52</v>
      </c>
      <c r="W302" s="1">
        <v>64</v>
      </c>
      <c r="X302" s="1">
        <v>263</v>
      </c>
      <c r="Y302" s="5">
        <f>STREAMS_STATS[[#This Row],[Duration]]/60</f>
        <v>4.3833333333333337</v>
      </c>
      <c r="Z302" s="1">
        <v>24</v>
      </c>
      <c r="AA302" s="1">
        <v>23</v>
      </c>
      <c r="AB302" s="1">
        <v>92</v>
      </c>
    </row>
    <row r="303" spans="1:28">
      <c r="A303" t="s">
        <v>520</v>
      </c>
      <c r="B303" s="1" t="s">
        <v>521</v>
      </c>
      <c r="C303" s="1" t="s">
        <v>67</v>
      </c>
      <c r="D303" s="1">
        <v>2012</v>
      </c>
      <c r="E303" s="3">
        <v>991336132</v>
      </c>
      <c r="F303" s="3" t="str" cm="1">
        <f t="array" ref="F30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03" s="1">
        <v>8870</v>
      </c>
      <c r="H303" s="1">
        <v>99</v>
      </c>
      <c r="I303" s="1">
        <v>289</v>
      </c>
      <c r="J303" s="1">
        <v>18874</v>
      </c>
      <c r="K303" s="1">
        <v>88</v>
      </c>
      <c r="L303" s="1">
        <v>2551</v>
      </c>
      <c r="M303" s="1">
        <v>187</v>
      </c>
      <c r="N303" s="1">
        <v>12697</v>
      </c>
      <c r="O303" s="1">
        <v>165</v>
      </c>
      <c r="P303" s="2">
        <f>SUM(STREAMS_STATS[[#This Row],[In Spotify Playlists]],STREAMS_STATS[[#This Row],[In Apple Playlists]],STREAMS_STATS[[#This Row],[In Deezer Playlists]],STREAMS_STATS[[#This Row],[In YouTube Playlists]])</f>
        <v>42992</v>
      </c>
      <c r="Q303" s="1">
        <v>117</v>
      </c>
      <c r="R303" s="1">
        <v>-4</v>
      </c>
      <c r="S303" s="1" t="s">
        <v>68</v>
      </c>
      <c r="T303" s="1">
        <v>68</v>
      </c>
      <c r="U303" s="1">
        <v>86</v>
      </c>
      <c r="V303" s="1">
        <v>7</v>
      </c>
      <c r="W303" s="1">
        <v>92</v>
      </c>
      <c r="X303" s="1">
        <v>188</v>
      </c>
      <c r="Y303" s="5">
        <f>STREAMS_STATS[[#This Row],[Duration]]/60</f>
        <v>3.1333333333333333</v>
      </c>
      <c r="Z303" s="1">
        <v>8</v>
      </c>
      <c r="AA303" s="1">
        <v>5</v>
      </c>
      <c r="AB303" s="1">
        <v>85</v>
      </c>
    </row>
    <row r="304" spans="1:28">
      <c r="A304" t="s">
        <v>522</v>
      </c>
      <c r="B304" s="1" t="s">
        <v>37</v>
      </c>
      <c r="C304" s="1" t="s">
        <v>134</v>
      </c>
      <c r="D304" s="1">
        <v>2015</v>
      </c>
      <c r="E304" s="3">
        <v>1840364617</v>
      </c>
      <c r="F304" s="3" t="str" cm="1">
        <f t="array" ref="F304">_xlfn.IFS(STREAMS_STATS[[#This Row],[Streams]] &gt;= 1000000000, "1B+", STREAMS_STATS[[#This Row],[Streams]] &gt;= 500000000, "500M–1B", STREAMS_STATS[[#This Row],[Streams]] &gt;= 250000000, "250M–500M", TRUE, "Under 250M")</f>
        <v>1B+</v>
      </c>
      <c r="G304" s="1">
        <v>24094</v>
      </c>
      <c r="H304" s="1">
        <v>16</v>
      </c>
      <c r="I304" s="1">
        <v>20</v>
      </c>
      <c r="J304" s="1">
        <v>30135</v>
      </c>
      <c r="K304" s="1">
        <v>20</v>
      </c>
      <c r="L304" s="1">
        <v>8000</v>
      </c>
      <c r="M304" s="1">
        <v>21</v>
      </c>
      <c r="N304" s="1">
        <v>14000</v>
      </c>
      <c r="O304" s="1">
        <v>229</v>
      </c>
      <c r="P304" s="2">
        <f>SUM(STREAMS_STATS[[#This Row],[In Spotify Playlists]],STREAMS_STATS[[#This Row],[In Apple Playlists]],STREAMS_STATS[[#This Row],[In Deezer Playlists]],STREAMS_STATS[[#This Row],[In YouTube Playlists]])</f>
        <v>76229</v>
      </c>
      <c r="Q304" s="1">
        <v>100</v>
      </c>
      <c r="R304" s="1">
        <v>-10</v>
      </c>
      <c r="S304" s="1" t="s">
        <v>68</v>
      </c>
      <c r="T304" s="1">
        <v>38</v>
      </c>
      <c r="U304" s="1">
        <v>61</v>
      </c>
      <c r="V304" s="1">
        <v>28</v>
      </c>
      <c r="W304" s="1">
        <v>52</v>
      </c>
      <c r="X304" s="1">
        <v>234</v>
      </c>
      <c r="Y304" s="5">
        <f>STREAMS_STATS[[#This Row],[Duration]]/60</f>
        <v>3.9</v>
      </c>
      <c r="Z304" s="1">
        <v>84</v>
      </c>
      <c r="AA304" s="1">
        <v>44</v>
      </c>
      <c r="AB304" s="1">
        <v>81</v>
      </c>
    </row>
    <row r="305" spans="1:28">
      <c r="A305" t="s">
        <v>523</v>
      </c>
      <c r="B305" s="1" t="s">
        <v>502</v>
      </c>
      <c r="C305" s="1" t="s">
        <v>287</v>
      </c>
      <c r="D305" s="1">
        <v>2017</v>
      </c>
      <c r="E305" s="3">
        <v>263280370</v>
      </c>
      <c r="F305" s="3" t="str" cm="1">
        <f t="array" ref="F30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05" s="1">
        <v>1948</v>
      </c>
      <c r="H305" s="1">
        <v>196</v>
      </c>
      <c r="I305" s="1">
        <v>27</v>
      </c>
      <c r="J305" s="1">
        <v>9121</v>
      </c>
      <c r="K305" s="1">
        <v>27</v>
      </c>
      <c r="L305" s="1">
        <v>587</v>
      </c>
      <c r="M305" s="1">
        <v>17</v>
      </c>
      <c r="N305" s="1">
        <v>11600</v>
      </c>
      <c r="O305" s="1">
        <v>144</v>
      </c>
      <c r="P305" s="2">
        <f>SUM(STREAMS_STATS[[#This Row],[In Spotify Playlists]],STREAMS_STATS[[#This Row],[In Apple Playlists]],STREAMS_STATS[[#This Row],[In Deezer Playlists]],STREAMS_STATS[[#This Row],[In YouTube Playlists]])</f>
        <v>23256</v>
      </c>
      <c r="Q305" s="1">
        <v>100</v>
      </c>
      <c r="R305" s="1">
        <v>-9</v>
      </c>
      <c r="S305" s="1" t="s">
        <v>75</v>
      </c>
      <c r="T305" s="1">
        <v>67</v>
      </c>
      <c r="U305" s="1">
        <v>51</v>
      </c>
      <c r="V305" s="1">
        <v>36</v>
      </c>
      <c r="W305" s="1">
        <v>27</v>
      </c>
      <c r="X305" s="1">
        <v>264</v>
      </c>
      <c r="Y305" s="5">
        <f>STREAMS_STATS[[#This Row],[Duration]]/60</f>
        <v>4.4000000000000004</v>
      </c>
      <c r="Z305" s="1">
        <v>58</v>
      </c>
      <c r="AA305" s="1">
        <v>6</v>
      </c>
      <c r="AB305" s="1">
        <v>83</v>
      </c>
    </row>
    <row r="306" spans="1:28">
      <c r="A306" t="s">
        <v>524</v>
      </c>
      <c r="B306" s="1" t="s">
        <v>179</v>
      </c>
      <c r="C306" s="1" t="s">
        <v>67</v>
      </c>
      <c r="D306" s="1">
        <v>2013</v>
      </c>
      <c r="E306" s="3">
        <v>309483971</v>
      </c>
      <c r="F306" s="3" t="str" cm="1">
        <f t="array" ref="F30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06" s="1">
        <v>2418</v>
      </c>
      <c r="H306" s="1">
        <v>396</v>
      </c>
      <c r="I306" s="1">
        <v>10</v>
      </c>
      <c r="J306" s="1">
        <v>25960</v>
      </c>
      <c r="K306" s="1">
        <v>10</v>
      </c>
      <c r="L306" s="1">
        <v>3</v>
      </c>
      <c r="M306" s="1">
        <v>8</v>
      </c>
      <c r="N306" s="1">
        <v>9937</v>
      </c>
      <c r="O306" s="1">
        <v>23</v>
      </c>
      <c r="P306" s="2">
        <f>SUM(STREAMS_STATS[[#This Row],[In Spotify Playlists]],STREAMS_STATS[[#This Row],[In Apple Playlists]],STREAMS_STATS[[#This Row],[In Deezer Playlists]],STREAMS_STATS[[#This Row],[In YouTube Playlists]])</f>
        <v>38318</v>
      </c>
      <c r="Q306" s="1">
        <v>87</v>
      </c>
      <c r="R306" s="1">
        <v>-4</v>
      </c>
      <c r="S306" s="1" t="s">
        <v>68</v>
      </c>
      <c r="T306" s="1">
        <v>86</v>
      </c>
      <c r="U306" s="1">
        <v>58</v>
      </c>
      <c r="V306" s="1">
        <v>32</v>
      </c>
      <c r="W306" s="1">
        <v>59</v>
      </c>
      <c r="X306" s="1">
        <v>196</v>
      </c>
      <c r="Y306" s="5">
        <f>STREAMS_STATS[[#This Row],[Duration]]/60</f>
        <v>3.2666666666666666</v>
      </c>
      <c r="Z306" s="1">
        <v>0</v>
      </c>
      <c r="AA306" s="1">
        <v>4</v>
      </c>
      <c r="AB306" s="1">
        <v>84</v>
      </c>
    </row>
    <row r="307" spans="1:28">
      <c r="A307" t="s">
        <v>525</v>
      </c>
      <c r="B307" s="1" t="s">
        <v>136</v>
      </c>
      <c r="C307" s="1" t="s">
        <v>67</v>
      </c>
      <c r="D307" s="1">
        <v>2016</v>
      </c>
      <c r="E307" s="3">
        <v>240918092</v>
      </c>
      <c r="F307" s="3" t="str" cm="1">
        <f t="array" ref="F30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07" s="1">
        <v>1729</v>
      </c>
      <c r="H307" s="1">
        <v>262</v>
      </c>
      <c r="I307" s="1">
        <v>8</v>
      </c>
      <c r="J307" s="1">
        <v>25926</v>
      </c>
      <c r="K307" s="1">
        <v>8</v>
      </c>
      <c r="L307" s="1">
        <v>17</v>
      </c>
      <c r="M307" s="1">
        <v>35</v>
      </c>
      <c r="N307" s="1">
        <v>29812</v>
      </c>
      <c r="O307" s="1">
        <v>327</v>
      </c>
      <c r="P307" s="2">
        <f>SUM(STREAMS_STATS[[#This Row],[In Spotify Playlists]],STREAMS_STATS[[#This Row],[In Apple Playlists]],STREAMS_STATS[[#This Row],[In Deezer Playlists]],STREAMS_STATS[[#This Row],[In YouTube Playlists]])</f>
        <v>57484</v>
      </c>
      <c r="Q307" s="1">
        <v>118</v>
      </c>
      <c r="R307" s="1">
        <v>-5</v>
      </c>
      <c r="S307" s="1" t="s">
        <v>68</v>
      </c>
      <c r="T307" s="1">
        <v>71</v>
      </c>
      <c r="U307" s="1">
        <v>74</v>
      </c>
      <c r="V307" s="1">
        <v>13</v>
      </c>
      <c r="W307" s="1">
        <v>80</v>
      </c>
      <c r="X307" s="1">
        <v>217</v>
      </c>
      <c r="Y307" s="5">
        <f>STREAMS_STATS[[#This Row],[Duration]]/60</f>
        <v>3.6166666666666667</v>
      </c>
      <c r="Z307" s="1">
        <v>4</v>
      </c>
      <c r="AA307" s="1">
        <v>5</v>
      </c>
      <c r="AB307" s="1">
        <v>77</v>
      </c>
    </row>
    <row r="308" spans="1:28">
      <c r="A308" t="s">
        <v>526</v>
      </c>
      <c r="B308" s="1" t="s">
        <v>66</v>
      </c>
      <c r="C308" s="1" t="s">
        <v>67</v>
      </c>
      <c r="D308" s="1">
        <v>2016</v>
      </c>
      <c r="E308" s="3">
        <v>261116938</v>
      </c>
      <c r="F308" s="3" t="str" cm="1">
        <f t="array" ref="F30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08" s="1">
        <v>1933</v>
      </c>
      <c r="H308" s="1">
        <v>169</v>
      </c>
      <c r="I308" s="1">
        <v>1</v>
      </c>
      <c r="J308" s="1">
        <v>4664</v>
      </c>
      <c r="K308" s="1">
        <v>1</v>
      </c>
      <c r="L308" s="1">
        <v>44</v>
      </c>
      <c r="M308" s="1">
        <v>1</v>
      </c>
      <c r="N308" s="1">
        <v>2907</v>
      </c>
      <c r="O308" s="1">
        <v>386</v>
      </c>
      <c r="P308" s="2">
        <f>SUM(STREAMS_STATS[[#This Row],[In Spotify Playlists]],STREAMS_STATS[[#This Row],[In Apple Playlists]],STREAMS_STATS[[#This Row],[In Deezer Playlists]],STREAMS_STATS[[#This Row],[In YouTube Playlists]])</f>
        <v>9548</v>
      </c>
      <c r="Q308" s="1">
        <v>123</v>
      </c>
      <c r="R308" s="1">
        <v>-7</v>
      </c>
      <c r="S308" s="1" t="s">
        <v>68</v>
      </c>
      <c r="T308" s="1">
        <v>70</v>
      </c>
      <c r="U308" s="1">
        <v>70</v>
      </c>
      <c r="V308" s="1">
        <v>22</v>
      </c>
      <c r="W308" s="1">
        <v>58</v>
      </c>
      <c r="X308" s="1">
        <v>231</v>
      </c>
      <c r="Y308" s="5">
        <f>STREAMS_STATS[[#This Row],[Duration]]/60</f>
        <v>3.85</v>
      </c>
      <c r="Z308" s="1">
        <v>16</v>
      </c>
      <c r="AA308" s="1">
        <v>10</v>
      </c>
      <c r="AB308" s="1">
        <v>90</v>
      </c>
    </row>
    <row r="309" spans="1:28">
      <c r="A309" t="s">
        <v>527</v>
      </c>
      <c r="B309" s="1" t="s">
        <v>93</v>
      </c>
      <c r="C309" s="1" t="s">
        <v>67</v>
      </c>
      <c r="D309" s="1">
        <v>2017</v>
      </c>
      <c r="E309" s="3">
        <v>1202722675</v>
      </c>
      <c r="F309" s="3" t="str" cm="1">
        <f t="array" ref="F309">_xlfn.IFS(STREAMS_STATS[[#This Row],[Streams]] &gt;= 1000000000, "1B+", STREAMS_STATS[[#This Row],[Streams]] &gt;= 500000000, "500M–1B", STREAMS_STATS[[#This Row],[Streams]] &gt;= 250000000, "250M–500M", TRUE, "Under 250M")</f>
        <v>1B+</v>
      </c>
      <c r="G309" s="1">
        <v>11940</v>
      </c>
      <c r="H309" s="1">
        <v>87</v>
      </c>
      <c r="I309" s="1">
        <v>21</v>
      </c>
      <c r="J309" s="1">
        <v>27450</v>
      </c>
      <c r="K309" s="1">
        <v>21</v>
      </c>
      <c r="L309" s="1">
        <v>99</v>
      </c>
      <c r="M309" s="1">
        <v>49</v>
      </c>
      <c r="N309" s="1">
        <v>2959</v>
      </c>
      <c r="O309" s="1">
        <v>270</v>
      </c>
      <c r="P309" s="2">
        <f>SUM(STREAMS_STATS[[#This Row],[In Spotify Playlists]],STREAMS_STATS[[#This Row],[In Apple Playlists]],STREAMS_STATS[[#This Row],[In Deezer Playlists]],STREAMS_STATS[[#This Row],[In YouTube Playlists]])</f>
        <v>42448</v>
      </c>
      <c r="Q309" s="1">
        <v>140</v>
      </c>
      <c r="R309" s="1">
        <v>-6</v>
      </c>
      <c r="S309" s="1" t="s">
        <v>75</v>
      </c>
      <c r="T309" s="1">
        <v>78</v>
      </c>
      <c r="U309" s="1">
        <v>57</v>
      </c>
      <c r="V309" s="1">
        <v>8</v>
      </c>
      <c r="W309" s="1">
        <v>34</v>
      </c>
      <c r="X309" s="1">
        <v>232</v>
      </c>
      <c r="Y309" s="5">
        <f>STREAMS_STATS[[#This Row],[Duration]]/60</f>
        <v>3.8666666666666667</v>
      </c>
      <c r="Z309" s="1">
        <v>8</v>
      </c>
      <c r="AA309" s="1">
        <v>6</v>
      </c>
      <c r="AB309" s="1">
        <v>85</v>
      </c>
    </row>
    <row r="310" spans="1:28">
      <c r="A310" t="s">
        <v>528</v>
      </c>
      <c r="B310" s="1" t="s">
        <v>529</v>
      </c>
      <c r="C310" s="1" t="s">
        <v>67</v>
      </c>
      <c r="D310" s="1">
        <v>2017</v>
      </c>
      <c r="E310" s="3">
        <v>841749534</v>
      </c>
      <c r="F310" s="3" t="str" cm="1">
        <f t="array" ref="F31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10" s="1">
        <v>7613</v>
      </c>
      <c r="H310" s="1">
        <v>331</v>
      </c>
      <c r="I310" s="1">
        <v>2</v>
      </c>
      <c r="J310" s="1">
        <v>19037</v>
      </c>
      <c r="K310" s="1">
        <v>2</v>
      </c>
      <c r="L310" s="1">
        <v>150</v>
      </c>
      <c r="M310" s="1">
        <v>5</v>
      </c>
      <c r="N310" s="1">
        <v>9229</v>
      </c>
      <c r="O310" s="1">
        <v>109</v>
      </c>
      <c r="P310" s="2">
        <f>SUM(STREAMS_STATS[[#This Row],[In Spotify Playlists]],STREAMS_STATS[[#This Row],[In Apple Playlists]],STREAMS_STATS[[#This Row],[In Deezer Playlists]],STREAMS_STATS[[#This Row],[In YouTube Playlists]])</f>
        <v>36029</v>
      </c>
      <c r="Q310" s="1">
        <v>104</v>
      </c>
      <c r="R310" s="1">
        <v>-4</v>
      </c>
      <c r="S310" s="1" t="s">
        <v>75</v>
      </c>
      <c r="T310" s="1">
        <v>79</v>
      </c>
      <c r="U310" s="1">
        <v>74</v>
      </c>
      <c r="V310" s="1">
        <v>5</v>
      </c>
      <c r="W310" s="1">
        <v>57</v>
      </c>
      <c r="X310" s="1">
        <v>184</v>
      </c>
      <c r="Y310" s="5">
        <f>STREAMS_STATS[[#This Row],[Duration]]/60</f>
        <v>3.0666666666666669</v>
      </c>
      <c r="Z310" s="1">
        <v>10</v>
      </c>
      <c r="AA310" s="1">
        <v>4</v>
      </c>
      <c r="AB310" s="1">
        <v>75</v>
      </c>
    </row>
    <row r="311" spans="1:28">
      <c r="A311" t="s">
        <v>530</v>
      </c>
      <c r="B311" s="1" t="s">
        <v>32</v>
      </c>
      <c r="C311" s="1" t="s">
        <v>25</v>
      </c>
      <c r="D311" s="1">
        <v>2014</v>
      </c>
      <c r="E311" s="3">
        <v>1230675890</v>
      </c>
      <c r="F311" s="3" t="str" cm="1">
        <f t="array" ref="F311">_xlfn.IFS(STREAMS_STATS[[#This Row],[Streams]] &gt;= 1000000000, "1B+", STREAMS_STATS[[#This Row],[Streams]] &gt;= 500000000, "500M–1B", STREAMS_STATS[[#This Row],[Streams]] &gt;= 250000000, "250M–500M", TRUE, "Under 250M")</f>
        <v>1B+</v>
      </c>
      <c r="G311" s="1">
        <v>12403</v>
      </c>
      <c r="H311" s="1">
        <v>66</v>
      </c>
      <c r="I311" s="1">
        <v>26</v>
      </c>
      <c r="J311" s="1">
        <v>1149</v>
      </c>
      <c r="K311" s="1">
        <v>26</v>
      </c>
      <c r="L311" s="1">
        <v>15</v>
      </c>
      <c r="M311" s="1">
        <v>40</v>
      </c>
      <c r="N311" s="1">
        <v>38661</v>
      </c>
      <c r="O311" s="1">
        <v>328</v>
      </c>
      <c r="P311" s="2">
        <f>SUM(STREAMS_STATS[[#This Row],[In Spotify Playlists]],STREAMS_STATS[[#This Row],[In Apple Playlists]],STREAMS_STATS[[#This Row],[In Deezer Playlists]],STREAMS_STATS[[#This Row],[In YouTube Playlists]])</f>
        <v>52228</v>
      </c>
      <c r="Q311" s="1">
        <v>120</v>
      </c>
      <c r="R311" s="1">
        <v>-6</v>
      </c>
      <c r="S311" s="1" t="s">
        <v>68</v>
      </c>
      <c r="T311" s="1">
        <v>71</v>
      </c>
      <c r="U311" s="1">
        <v>74</v>
      </c>
      <c r="V311" s="1">
        <v>6</v>
      </c>
      <c r="W311" s="1">
        <v>88</v>
      </c>
      <c r="X311" s="1">
        <v>190</v>
      </c>
      <c r="Y311" s="5">
        <f>STREAMS_STATS[[#This Row],[Duration]]/60</f>
        <v>3.1666666666666665</v>
      </c>
      <c r="Z311" s="1">
        <v>2</v>
      </c>
      <c r="AA311" s="1">
        <v>3</v>
      </c>
      <c r="AB311" s="1">
        <v>94</v>
      </c>
    </row>
    <row r="312" spans="1:28">
      <c r="A312" t="s">
        <v>531</v>
      </c>
      <c r="B312" s="1" t="s">
        <v>37</v>
      </c>
      <c r="C312" s="1" t="s">
        <v>134</v>
      </c>
      <c r="D312" s="1">
        <v>2015</v>
      </c>
      <c r="E312" s="3">
        <v>343197054</v>
      </c>
      <c r="F312" s="3" t="str" cm="1">
        <f t="array" ref="F31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12" s="1">
        <v>2649</v>
      </c>
      <c r="H312" s="1">
        <v>332</v>
      </c>
      <c r="I312" s="1">
        <v>24</v>
      </c>
      <c r="J312" s="1">
        <v>11137</v>
      </c>
      <c r="K312" s="1">
        <v>19</v>
      </c>
      <c r="L312" s="1">
        <v>19</v>
      </c>
      <c r="M312" s="1">
        <v>12</v>
      </c>
      <c r="N312" s="1">
        <v>16162</v>
      </c>
      <c r="O312" s="1">
        <v>254</v>
      </c>
      <c r="P312" s="2">
        <f>SUM(STREAMS_STATS[[#This Row],[In Spotify Playlists]],STREAMS_STATS[[#This Row],[In Apple Playlists]],STREAMS_STATS[[#This Row],[In Deezer Playlists]],STREAMS_STATS[[#This Row],[In YouTube Playlists]])</f>
        <v>29967</v>
      </c>
      <c r="Q312" s="1">
        <v>114</v>
      </c>
      <c r="R312" s="1">
        <v>-9</v>
      </c>
      <c r="S312" s="1" t="s">
        <v>68</v>
      </c>
      <c r="T312" s="1">
        <v>26</v>
      </c>
      <c r="U312" s="1">
        <v>38</v>
      </c>
      <c r="V312" s="1">
        <v>17</v>
      </c>
      <c r="W312" s="1">
        <v>52</v>
      </c>
      <c r="X312" s="1">
        <v>134</v>
      </c>
      <c r="Y312" s="5">
        <f>STREAMS_STATS[[#This Row],[Duration]]/60</f>
        <v>2.2333333333333334</v>
      </c>
      <c r="Z312" s="1">
        <v>88</v>
      </c>
      <c r="AA312" s="1">
        <v>3</v>
      </c>
      <c r="AB312" s="1">
        <v>63</v>
      </c>
    </row>
    <row r="313" spans="1:28">
      <c r="A313" t="s">
        <v>532</v>
      </c>
      <c r="B313" s="1" t="s">
        <v>97</v>
      </c>
      <c r="C313" s="1" t="s">
        <v>67</v>
      </c>
      <c r="D313" s="1">
        <v>2011</v>
      </c>
      <c r="E313" s="3">
        <v>323455692</v>
      </c>
      <c r="F313" s="3" t="str" cm="1">
        <f t="array" ref="F31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13" s="1">
        <v>2528</v>
      </c>
      <c r="H313" s="1">
        <v>235</v>
      </c>
      <c r="I313" s="1">
        <v>144</v>
      </c>
      <c r="J313" s="1">
        <v>26877</v>
      </c>
      <c r="K313" s="1">
        <v>51</v>
      </c>
      <c r="L313" s="1">
        <v>6446</v>
      </c>
      <c r="M313" s="1">
        <v>66</v>
      </c>
      <c r="N313" s="1">
        <v>2292</v>
      </c>
      <c r="O313" s="1">
        <v>315</v>
      </c>
      <c r="P313" s="2">
        <f>SUM(STREAMS_STATS[[#This Row],[In Spotify Playlists]],STREAMS_STATS[[#This Row],[In Apple Playlists]],STREAMS_STATS[[#This Row],[In Deezer Playlists]],STREAMS_STATS[[#This Row],[In YouTube Playlists]])</f>
        <v>38143</v>
      </c>
      <c r="Q313" s="1">
        <v>131</v>
      </c>
      <c r="R313" s="1">
        <v>-4</v>
      </c>
      <c r="S313" s="1" t="s">
        <v>75</v>
      </c>
      <c r="T313" s="1">
        <v>88</v>
      </c>
      <c r="U313" s="1">
        <v>61</v>
      </c>
      <c r="V313" s="1">
        <v>46</v>
      </c>
      <c r="W313" s="1">
        <v>38</v>
      </c>
      <c r="X313" s="1">
        <v>265</v>
      </c>
      <c r="Y313" s="5">
        <f>STREAMS_STATS[[#This Row],[Duration]]/60</f>
        <v>4.416666666666667</v>
      </c>
      <c r="Z313" s="1">
        <v>0</v>
      </c>
      <c r="AA313" s="1">
        <v>6</v>
      </c>
      <c r="AB313" s="1">
        <v>61</v>
      </c>
    </row>
    <row r="314" spans="1:28">
      <c r="A314" t="s">
        <v>533</v>
      </c>
      <c r="B314" s="1" t="s">
        <v>38</v>
      </c>
      <c r="C314" s="1" t="s">
        <v>25</v>
      </c>
      <c r="D314" s="1">
        <v>2010</v>
      </c>
      <c r="E314" s="3">
        <v>777765388</v>
      </c>
      <c r="F314" s="3" t="str" cm="1">
        <f t="array" ref="F31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14" s="1">
        <v>6734</v>
      </c>
      <c r="H314" s="1">
        <v>348</v>
      </c>
      <c r="I314" s="1">
        <v>124</v>
      </c>
      <c r="J314" s="1">
        <v>21482</v>
      </c>
      <c r="K314" s="1">
        <v>88</v>
      </c>
      <c r="L314" s="1">
        <v>5643</v>
      </c>
      <c r="M314" s="1">
        <v>191</v>
      </c>
      <c r="N314" s="1">
        <v>21403</v>
      </c>
      <c r="O314" s="1">
        <v>344</v>
      </c>
      <c r="P314" s="2">
        <f>SUM(STREAMS_STATS[[#This Row],[In Spotify Playlists]],STREAMS_STATS[[#This Row],[In Apple Playlists]],STREAMS_STATS[[#This Row],[In Deezer Playlists]],STREAMS_STATS[[#This Row],[In YouTube Playlists]])</f>
        <v>55262</v>
      </c>
      <c r="Q314" s="1">
        <v>145</v>
      </c>
      <c r="R314" s="1">
        <v>-5</v>
      </c>
      <c r="S314" s="1" t="s">
        <v>68</v>
      </c>
      <c r="T314" s="1">
        <v>83</v>
      </c>
      <c r="U314" s="1">
        <v>62</v>
      </c>
      <c r="V314" s="1">
        <v>10</v>
      </c>
      <c r="W314" s="1">
        <v>48</v>
      </c>
      <c r="X314" s="1">
        <v>230</v>
      </c>
      <c r="Y314" s="5">
        <f>STREAMS_STATS[[#This Row],[Duration]]/60</f>
        <v>3.8333333333333335</v>
      </c>
      <c r="Z314" s="1">
        <v>33</v>
      </c>
      <c r="AA314" s="1">
        <v>4</v>
      </c>
      <c r="AB314" s="1">
        <v>94</v>
      </c>
    </row>
    <row r="315" spans="1:28">
      <c r="A315" t="s">
        <v>534</v>
      </c>
      <c r="B315" s="1" t="s">
        <v>102</v>
      </c>
      <c r="C315" s="1" t="s">
        <v>67</v>
      </c>
      <c r="D315" s="1">
        <v>2016</v>
      </c>
      <c r="E315" s="3">
        <v>705469769</v>
      </c>
      <c r="F315" s="3" t="str" cm="1">
        <f t="array" ref="F31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15" s="1">
        <v>6127</v>
      </c>
      <c r="H315" s="1">
        <v>236</v>
      </c>
      <c r="I315" s="1">
        <v>2</v>
      </c>
      <c r="J315" s="1">
        <v>6839</v>
      </c>
      <c r="K315" s="1">
        <v>2</v>
      </c>
      <c r="L315" s="1">
        <v>50</v>
      </c>
      <c r="M315" s="1">
        <v>31</v>
      </c>
      <c r="N315" s="1">
        <v>13930</v>
      </c>
      <c r="O315" s="1">
        <v>260</v>
      </c>
      <c r="P315" s="2">
        <f>SUM(STREAMS_STATS[[#This Row],[In Spotify Playlists]],STREAMS_STATS[[#This Row],[In Apple Playlists]],STREAMS_STATS[[#This Row],[In Deezer Playlists]],STREAMS_STATS[[#This Row],[In YouTube Playlists]])</f>
        <v>26946</v>
      </c>
      <c r="Q315" s="1">
        <v>124</v>
      </c>
      <c r="R315" s="1">
        <v>-6</v>
      </c>
      <c r="S315" s="1" t="s">
        <v>68</v>
      </c>
      <c r="T315" s="1">
        <v>69</v>
      </c>
      <c r="U315" s="1">
        <v>93</v>
      </c>
      <c r="V315" s="1">
        <v>48</v>
      </c>
      <c r="W315" s="1">
        <v>84</v>
      </c>
      <c r="X315" s="1">
        <v>181</v>
      </c>
      <c r="Y315" s="5">
        <f>STREAMS_STATS[[#This Row],[Duration]]/60</f>
        <v>3.0166666666666666</v>
      </c>
      <c r="Z315" s="1">
        <v>10</v>
      </c>
      <c r="AA315" s="1">
        <v>10</v>
      </c>
      <c r="AB315" s="1">
        <v>73</v>
      </c>
    </row>
    <row r="316" spans="1:28">
      <c r="A316" t="s">
        <v>535</v>
      </c>
      <c r="B316" s="1" t="s">
        <v>398</v>
      </c>
      <c r="C316" s="1" t="s">
        <v>284</v>
      </c>
      <c r="D316" s="1">
        <v>2016</v>
      </c>
      <c r="E316" s="3">
        <v>1217120710</v>
      </c>
      <c r="F316" s="3" t="str" cm="1">
        <f t="array" ref="F316">_xlfn.IFS(STREAMS_STATS[[#This Row],[Streams]] &gt;= 1000000000, "1B+", STREAMS_STATS[[#This Row],[Streams]] &gt;= 500000000, "500M–1B", STREAMS_STATS[[#This Row],[Streams]] &gt;= 250000000, "250M–500M", TRUE, "Under 250M")</f>
        <v>1B+</v>
      </c>
      <c r="G316" s="1">
        <v>12211</v>
      </c>
      <c r="H316" s="1">
        <v>83</v>
      </c>
      <c r="I316" s="1">
        <v>2</v>
      </c>
      <c r="J316" s="1">
        <v>34850</v>
      </c>
      <c r="K316" s="1">
        <v>2</v>
      </c>
      <c r="L316" s="1">
        <v>26</v>
      </c>
      <c r="M316" s="1">
        <v>47</v>
      </c>
      <c r="N316" s="1">
        <v>23092</v>
      </c>
      <c r="O316" s="1">
        <v>34</v>
      </c>
      <c r="P316" s="2">
        <f>SUM(STREAMS_STATS[[#This Row],[In Spotify Playlists]],STREAMS_STATS[[#This Row],[In Apple Playlists]],STREAMS_STATS[[#This Row],[In Deezer Playlists]],STREAMS_STATS[[#This Row],[In YouTube Playlists]])</f>
        <v>70179</v>
      </c>
      <c r="Q316" s="1">
        <v>112</v>
      </c>
      <c r="R316" s="1">
        <v>-7</v>
      </c>
      <c r="S316" s="1" t="s">
        <v>75</v>
      </c>
      <c r="T316" s="1">
        <v>67</v>
      </c>
      <c r="U316" s="1">
        <v>76</v>
      </c>
      <c r="V316" s="1">
        <v>16</v>
      </c>
      <c r="W316" s="1">
        <v>38</v>
      </c>
      <c r="X316" s="1">
        <v>251</v>
      </c>
      <c r="Y316" s="5">
        <f>STREAMS_STATS[[#This Row],[Duration]]/60</f>
        <v>4.1833333333333336</v>
      </c>
      <c r="Z316" s="1">
        <v>2</v>
      </c>
      <c r="AA316" s="1">
        <v>10</v>
      </c>
      <c r="AB316" s="1">
        <v>78</v>
      </c>
    </row>
    <row r="317" spans="1:28">
      <c r="A317" t="s">
        <v>536</v>
      </c>
      <c r="B317" s="1" t="s">
        <v>437</v>
      </c>
      <c r="C317" s="1" t="s">
        <v>67</v>
      </c>
      <c r="D317" s="1">
        <v>2010</v>
      </c>
      <c r="E317" s="3">
        <v>482175240</v>
      </c>
      <c r="F317" s="3" t="str" cm="1">
        <f t="array" ref="F31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17" s="1">
        <v>3859</v>
      </c>
      <c r="H317" s="1">
        <v>172</v>
      </c>
      <c r="I317" s="1">
        <v>123</v>
      </c>
      <c r="J317" s="1">
        <v>22918</v>
      </c>
      <c r="K317" s="1">
        <v>100</v>
      </c>
      <c r="L317" s="1">
        <v>3804</v>
      </c>
      <c r="M317" s="1">
        <v>121</v>
      </c>
      <c r="N317" s="1">
        <v>23312</v>
      </c>
      <c r="O317" s="1">
        <v>47</v>
      </c>
      <c r="P317" s="2">
        <f>SUM(STREAMS_STATS[[#This Row],[In Spotify Playlists]],STREAMS_STATS[[#This Row],[In Apple Playlists]],STREAMS_STATS[[#This Row],[In Deezer Playlists]],STREAMS_STATS[[#This Row],[In YouTube Playlists]])</f>
        <v>53893</v>
      </c>
      <c r="Q317" s="1">
        <v>130</v>
      </c>
      <c r="R317" s="1">
        <v>-7</v>
      </c>
      <c r="S317" s="1" t="s">
        <v>75</v>
      </c>
      <c r="T317" s="1">
        <v>63</v>
      </c>
      <c r="U317" s="1">
        <v>80</v>
      </c>
      <c r="V317" s="1">
        <v>32</v>
      </c>
      <c r="W317" s="1">
        <v>40</v>
      </c>
      <c r="X317" s="1">
        <v>284</v>
      </c>
      <c r="Y317" s="5">
        <f>STREAMS_STATS[[#This Row],[Duration]]/60</f>
        <v>4.7333333333333334</v>
      </c>
      <c r="Z317" s="1">
        <v>0</v>
      </c>
      <c r="AA317" s="1">
        <v>7</v>
      </c>
      <c r="AB317" s="1">
        <v>68</v>
      </c>
    </row>
    <row r="318" spans="1:28">
      <c r="A318" t="s">
        <v>537</v>
      </c>
      <c r="B318" s="1" t="s">
        <v>32</v>
      </c>
      <c r="C318" s="1" t="s">
        <v>25</v>
      </c>
      <c r="D318" s="1">
        <v>2019</v>
      </c>
      <c r="E318" s="3">
        <v>2838096550</v>
      </c>
      <c r="F318" s="3" t="str" cm="1">
        <f t="array" ref="F318">_xlfn.IFS(STREAMS_STATS[[#This Row],[Streams]] &gt;= 1000000000, "1B+", STREAMS_STATS[[#This Row],[Streams]] &gt;= 500000000, "500M–1B", STREAMS_STATS[[#This Row],[Streams]] &gt;= 250000000, "250M–500M", TRUE, "Under 250M")</f>
        <v>1B+</v>
      </c>
      <c r="G318" s="1">
        <v>52898</v>
      </c>
      <c r="H318" s="1">
        <v>1</v>
      </c>
      <c r="I318" s="1">
        <v>24</v>
      </c>
      <c r="J318" s="1">
        <v>38075</v>
      </c>
      <c r="K318" s="1">
        <v>24</v>
      </c>
      <c r="L318" s="1">
        <v>200</v>
      </c>
      <c r="M318" s="1">
        <v>7</v>
      </c>
      <c r="N318" s="1">
        <v>24846</v>
      </c>
      <c r="O318" s="1">
        <v>107</v>
      </c>
      <c r="P318" s="2">
        <f>SUM(STREAMS_STATS[[#This Row],[In Spotify Playlists]],STREAMS_STATS[[#This Row],[In Apple Playlists]],STREAMS_STATS[[#This Row],[In Deezer Playlists]],STREAMS_STATS[[#This Row],[In YouTube Playlists]])</f>
        <v>116019</v>
      </c>
      <c r="Q318" s="1">
        <v>91</v>
      </c>
      <c r="R318" s="1">
        <v>-7</v>
      </c>
      <c r="S318" s="1" t="s">
        <v>75</v>
      </c>
      <c r="T318" s="1">
        <v>32</v>
      </c>
      <c r="U318" s="1">
        <v>76</v>
      </c>
      <c r="V318" s="1">
        <v>8</v>
      </c>
      <c r="W318" s="1">
        <v>57</v>
      </c>
      <c r="X318" s="1">
        <v>189</v>
      </c>
      <c r="Y318" s="5">
        <f>STREAMS_STATS[[#This Row],[Duration]]/60</f>
        <v>3.15</v>
      </c>
      <c r="Z318" s="1">
        <v>84</v>
      </c>
      <c r="AA318" s="1">
        <v>5</v>
      </c>
      <c r="AB318" s="1">
        <v>94</v>
      </c>
    </row>
    <row r="319" spans="1:28">
      <c r="A319" t="s">
        <v>538</v>
      </c>
      <c r="B319" s="1" t="s">
        <v>33</v>
      </c>
      <c r="C319" s="1" t="s">
        <v>134</v>
      </c>
      <c r="D319" s="1">
        <v>2017</v>
      </c>
      <c r="E319" s="3">
        <v>1593270737</v>
      </c>
      <c r="F319" s="3" t="str" cm="1">
        <f t="array" ref="F319">_xlfn.IFS(STREAMS_STATS[[#This Row],[Streams]] &gt;= 1000000000, "1B+", STREAMS_STATS[[#This Row],[Streams]] &gt;= 500000000, "500M–1B", STREAMS_STATS[[#This Row],[Streams]] &gt;= 250000000, "250M–500M", TRUE, "Under 250M")</f>
        <v>1B+</v>
      </c>
      <c r="G319" s="1">
        <v>18778</v>
      </c>
      <c r="H319" s="1">
        <v>26</v>
      </c>
      <c r="I319" s="1">
        <v>7</v>
      </c>
      <c r="J319" s="1">
        <v>1652</v>
      </c>
      <c r="K319" s="1">
        <v>7</v>
      </c>
      <c r="L319" s="1">
        <v>199</v>
      </c>
      <c r="M319" s="1">
        <v>29</v>
      </c>
      <c r="N319" s="1">
        <v>39764</v>
      </c>
      <c r="O319" s="1">
        <v>262</v>
      </c>
      <c r="P319" s="2">
        <f>SUM(STREAMS_STATS[[#This Row],[In Spotify Playlists]],STREAMS_STATS[[#This Row],[In Apple Playlists]],STREAMS_STATS[[#This Row],[In Deezer Playlists]],STREAMS_STATS[[#This Row],[In YouTube Playlists]])</f>
        <v>60393</v>
      </c>
      <c r="Q319" s="1">
        <v>148</v>
      </c>
      <c r="R319" s="1">
        <v>-5</v>
      </c>
      <c r="S319" s="1" t="s">
        <v>68</v>
      </c>
      <c r="T319" s="1">
        <v>66</v>
      </c>
      <c r="U319" s="1">
        <v>56</v>
      </c>
      <c r="V319" s="1">
        <v>11</v>
      </c>
      <c r="W319" s="1">
        <v>36</v>
      </c>
      <c r="X319" s="1">
        <v>209</v>
      </c>
      <c r="Y319" s="5">
        <f>STREAMS_STATS[[#This Row],[Duration]]/60</f>
        <v>3.4833333333333334</v>
      </c>
      <c r="Z319" s="1">
        <v>13</v>
      </c>
      <c r="AA319" s="1">
        <v>8</v>
      </c>
      <c r="AB319" s="1">
        <v>81</v>
      </c>
    </row>
    <row r="320" spans="1:28">
      <c r="A320" t="s">
        <v>539</v>
      </c>
      <c r="B320" s="1" t="s">
        <v>226</v>
      </c>
      <c r="C320" s="1" t="s">
        <v>67</v>
      </c>
      <c r="D320" s="1">
        <v>2017</v>
      </c>
      <c r="E320" s="3">
        <v>244928911</v>
      </c>
      <c r="F320" s="3" t="str" cm="1">
        <f t="array" ref="F32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20" s="1">
        <v>1788</v>
      </c>
      <c r="H320" s="1">
        <v>196</v>
      </c>
      <c r="I320" s="1">
        <v>22</v>
      </c>
      <c r="J320" s="1">
        <v>2597</v>
      </c>
      <c r="K320" s="1">
        <v>36</v>
      </c>
      <c r="L320" s="1">
        <v>70</v>
      </c>
      <c r="M320" s="1">
        <v>15</v>
      </c>
      <c r="N320" s="1">
        <v>7759</v>
      </c>
      <c r="O320" s="1">
        <v>286</v>
      </c>
      <c r="P320" s="2">
        <f>SUM(STREAMS_STATS[[#This Row],[In Spotify Playlists]],STREAMS_STATS[[#This Row],[In Apple Playlists]],STREAMS_STATS[[#This Row],[In Deezer Playlists]],STREAMS_STATS[[#This Row],[In YouTube Playlists]])</f>
        <v>12214</v>
      </c>
      <c r="Q320" s="1">
        <v>158</v>
      </c>
      <c r="R320" s="1">
        <v>-5</v>
      </c>
      <c r="S320" s="1" t="s">
        <v>75</v>
      </c>
      <c r="T320" s="1">
        <v>81</v>
      </c>
      <c r="U320" s="1">
        <v>57</v>
      </c>
      <c r="V320" s="1">
        <v>4</v>
      </c>
      <c r="W320" s="1">
        <v>78</v>
      </c>
      <c r="X320" s="1">
        <v>223</v>
      </c>
      <c r="Y320" s="5">
        <f>STREAMS_STATS[[#This Row],[Duration]]/60</f>
        <v>3.7166666666666668</v>
      </c>
      <c r="Z320" s="1">
        <v>2</v>
      </c>
      <c r="AA320" s="1">
        <v>5</v>
      </c>
      <c r="AB320" s="1">
        <v>51</v>
      </c>
    </row>
    <row r="321" spans="1:28">
      <c r="A321" t="s">
        <v>540</v>
      </c>
      <c r="B321" s="1" t="s">
        <v>541</v>
      </c>
      <c r="C321" s="1" t="s">
        <v>253</v>
      </c>
      <c r="D321" s="1">
        <v>2018</v>
      </c>
      <c r="E321" s="3">
        <v>460492795</v>
      </c>
      <c r="F321" s="3" t="str" cm="1">
        <f t="array" ref="F32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21" s="1">
        <v>3559</v>
      </c>
      <c r="H321" s="1">
        <v>381</v>
      </c>
      <c r="I321" s="1">
        <v>19</v>
      </c>
      <c r="J321" s="1">
        <v>3383</v>
      </c>
      <c r="K321" s="1">
        <v>19</v>
      </c>
      <c r="L321" s="1">
        <v>73</v>
      </c>
      <c r="M321" s="1">
        <v>12</v>
      </c>
      <c r="N321" s="1">
        <v>1857</v>
      </c>
      <c r="O321" s="1">
        <v>125</v>
      </c>
      <c r="P321" s="2">
        <f>SUM(STREAMS_STATS[[#This Row],[In Spotify Playlists]],STREAMS_STATS[[#This Row],[In Apple Playlists]],STREAMS_STATS[[#This Row],[In Deezer Playlists]],STREAMS_STATS[[#This Row],[In YouTube Playlists]])</f>
        <v>8872</v>
      </c>
      <c r="Q321" s="1">
        <v>105</v>
      </c>
      <c r="R321" s="1">
        <v>-6</v>
      </c>
      <c r="S321" s="1" t="s">
        <v>75</v>
      </c>
      <c r="T321" s="1">
        <v>72</v>
      </c>
      <c r="U321" s="1">
        <v>76</v>
      </c>
      <c r="V321" s="1">
        <v>23</v>
      </c>
      <c r="W321" s="1">
        <v>47</v>
      </c>
      <c r="X321" s="1">
        <v>210</v>
      </c>
      <c r="Y321" s="5">
        <f>STREAMS_STATS[[#This Row],[Duration]]/60</f>
        <v>3.5</v>
      </c>
      <c r="Z321" s="1">
        <v>2</v>
      </c>
      <c r="AA321" s="1">
        <v>8</v>
      </c>
      <c r="AB321" s="1">
        <v>68</v>
      </c>
    </row>
    <row r="322" spans="1:28">
      <c r="A322" t="s">
        <v>542</v>
      </c>
      <c r="B322" s="1" t="s">
        <v>97</v>
      </c>
      <c r="C322" s="1" t="s">
        <v>67</v>
      </c>
      <c r="D322" s="1">
        <v>2016</v>
      </c>
      <c r="E322" s="3">
        <v>1449779435</v>
      </c>
      <c r="F322" s="3" t="str" cm="1">
        <f t="array" ref="F322">_xlfn.IFS(STREAMS_STATS[[#This Row],[Streams]] &gt;= 1000000000, "1B+", STREAMS_STATS[[#This Row],[Streams]] &gt;= 500000000, "500M–1B", STREAMS_STATS[[#This Row],[Streams]] &gt;= 250000000, "250M–500M", TRUE, "Under 250M")</f>
        <v>1B+</v>
      </c>
      <c r="G322" s="1">
        <v>16596</v>
      </c>
      <c r="H322" s="1">
        <v>45</v>
      </c>
      <c r="I322" s="1">
        <v>67</v>
      </c>
      <c r="J322" s="1">
        <v>16113</v>
      </c>
      <c r="K322" s="1">
        <v>67</v>
      </c>
      <c r="L322" s="1">
        <v>66</v>
      </c>
      <c r="M322" s="1">
        <v>15</v>
      </c>
      <c r="N322" s="1">
        <v>10025</v>
      </c>
      <c r="O322" s="1">
        <v>228</v>
      </c>
      <c r="P322" s="2">
        <f>SUM(STREAMS_STATS[[#This Row],[In Spotify Playlists]],STREAMS_STATS[[#This Row],[In Apple Playlists]],STREAMS_STATS[[#This Row],[In Deezer Playlists]],STREAMS_STATS[[#This Row],[In YouTube Playlists]])</f>
        <v>42800</v>
      </c>
      <c r="Q322" s="1">
        <v>130</v>
      </c>
      <c r="R322" s="1">
        <v>-8</v>
      </c>
      <c r="S322" s="1" t="s">
        <v>68</v>
      </c>
      <c r="T322" s="1">
        <v>42</v>
      </c>
      <c r="U322" s="1">
        <v>67</v>
      </c>
      <c r="V322" s="1">
        <v>11</v>
      </c>
      <c r="W322" s="1">
        <v>15</v>
      </c>
      <c r="X322" s="1">
        <v>205</v>
      </c>
      <c r="Y322" s="5">
        <f>STREAMS_STATS[[#This Row],[Duration]]/60</f>
        <v>3.4166666666666665</v>
      </c>
      <c r="Z322" s="1">
        <v>49</v>
      </c>
      <c r="AA322" s="1">
        <v>4</v>
      </c>
      <c r="AB322" s="1">
        <v>80</v>
      </c>
    </row>
    <row r="323" spans="1:28">
      <c r="A323" t="s">
        <v>543</v>
      </c>
      <c r="B323" s="1" t="s">
        <v>36</v>
      </c>
      <c r="C323" s="1" t="s">
        <v>107</v>
      </c>
      <c r="D323" s="1">
        <v>2016</v>
      </c>
      <c r="E323" s="3">
        <v>200660871</v>
      </c>
      <c r="F323" s="3" t="str" cm="1">
        <f t="array" ref="F32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23" s="1">
        <v>32181</v>
      </c>
      <c r="H323" s="1">
        <v>3</v>
      </c>
      <c r="I323" s="1">
        <v>47</v>
      </c>
      <c r="J323" s="1">
        <v>28291</v>
      </c>
      <c r="K323" s="1">
        <v>47</v>
      </c>
      <c r="L323" s="1">
        <v>36</v>
      </c>
      <c r="M323" s="1">
        <v>4</v>
      </c>
      <c r="N323" s="1">
        <v>3237</v>
      </c>
      <c r="O323" s="1">
        <v>22</v>
      </c>
      <c r="P323" s="2">
        <f>SUM(STREAMS_STATS[[#This Row],[In Spotify Playlists]],STREAMS_STATS[[#This Row],[In Apple Playlists]],STREAMS_STATS[[#This Row],[In Deezer Playlists]],STREAMS_STATS[[#This Row],[In YouTube Playlists]])</f>
        <v>63745</v>
      </c>
      <c r="Q323" s="1">
        <v>98</v>
      </c>
      <c r="R323" s="1">
        <v>-10</v>
      </c>
      <c r="S323" s="1" t="s">
        <v>68</v>
      </c>
      <c r="T323" s="1">
        <v>81</v>
      </c>
      <c r="U323" s="1">
        <v>0</v>
      </c>
      <c r="V323" s="1">
        <v>8</v>
      </c>
      <c r="W323" s="1">
        <v>46</v>
      </c>
      <c r="X323" s="1">
        <v>227</v>
      </c>
      <c r="Y323" s="5">
        <f>STREAMS_STATS[[#This Row],[Duration]]/60</f>
        <v>3.7833333333333332</v>
      </c>
      <c r="Z323" s="1">
        <v>45</v>
      </c>
      <c r="AA323" s="1">
        <v>42</v>
      </c>
      <c r="AB323" s="1">
        <v>86</v>
      </c>
    </row>
    <row r="324" spans="1:28">
      <c r="A324" t="s">
        <v>544</v>
      </c>
      <c r="B324" s="1" t="s">
        <v>219</v>
      </c>
      <c r="C324" s="1" t="s">
        <v>67</v>
      </c>
      <c r="D324" s="1">
        <v>2013</v>
      </c>
      <c r="E324" s="3">
        <v>311395144</v>
      </c>
      <c r="F324" s="3" t="str" cm="1">
        <f t="array" ref="F32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24" s="1">
        <v>2420</v>
      </c>
      <c r="H324" s="1">
        <v>435</v>
      </c>
      <c r="I324" s="1">
        <v>207</v>
      </c>
      <c r="J324" s="1">
        <v>16914</v>
      </c>
      <c r="K324" s="1">
        <v>207</v>
      </c>
      <c r="L324" s="1">
        <v>125</v>
      </c>
      <c r="M324" s="1">
        <v>12</v>
      </c>
      <c r="N324" s="1">
        <v>29899</v>
      </c>
      <c r="O324" s="1">
        <v>178</v>
      </c>
      <c r="P324" s="2">
        <f>SUM(STREAMS_STATS[[#This Row],[In Spotify Playlists]],STREAMS_STATS[[#This Row],[In Apple Playlists]],STREAMS_STATS[[#This Row],[In Deezer Playlists]],STREAMS_STATS[[#This Row],[In YouTube Playlists]])</f>
        <v>49358</v>
      </c>
      <c r="Q324" s="1">
        <v>77</v>
      </c>
      <c r="R324" s="1">
        <v>-6</v>
      </c>
      <c r="S324" s="1" t="s">
        <v>75</v>
      </c>
      <c r="T324" s="1">
        <v>60</v>
      </c>
      <c r="U324" s="1">
        <v>58</v>
      </c>
      <c r="V324" s="1">
        <v>43</v>
      </c>
      <c r="W324" s="1">
        <v>65</v>
      </c>
      <c r="X324" s="1">
        <v>277</v>
      </c>
      <c r="Y324" s="5">
        <f>STREAMS_STATS[[#This Row],[Duration]]/60</f>
        <v>4.6166666666666663</v>
      </c>
      <c r="Z324" s="1">
        <v>14</v>
      </c>
      <c r="AA324" s="1">
        <v>5</v>
      </c>
      <c r="AB324" s="1">
        <v>60</v>
      </c>
    </row>
    <row r="325" spans="1:28">
      <c r="A325" t="s">
        <v>545</v>
      </c>
      <c r="B325" s="1" t="s">
        <v>32</v>
      </c>
      <c r="C325" s="1" t="s">
        <v>25</v>
      </c>
      <c r="D325" s="1">
        <v>2010</v>
      </c>
      <c r="E325" s="3">
        <v>395591396</v>
      </c>
      <c r="F325" s="3" t="str" cm="1">
        <f t="array" ref="F32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25" s="1">
        <v>3069</v>
      </c>
      <c r="H325" s="1">
        <v>262</v>
      </c>
      <c r="I325" s="1">
        <v>137</v>
      </c>
      <c r="J325" s="1">
        <v>30544</v>
      </c>
      <c r="K325" s="1">
        <v>57</v>
      </c>
      <c r="L325" s="1">
        <v>5572</v>
      </c>
      <c r="M325" s="1">
        <v>143</v>
      </c>
      <c r="N325" s="1">
        <v>8134</v>
      </c>
      <c r="O325" s="1">
        <v>78</v>
      </c>
      <c r="P325" s="2">
        <f>SUM(STREAMS_STATS[[#This Row],[In Spotify Playlists]],STREAMS_STATS[[#This Row],[In Apple Playlists]],STREAMS_STATS[[#This Row],[In Deezer Playlists]],STREAMS_STATS[[#This Row],[In YouTube Playlists]])</f>
        <v>47319</v>
      </c>
      <c r="Q325" s="1">
        <v>103</v>
      </c>
      <c r="R325" s="1">
        <v>-5</v>
      </c>
      <c r="S325" s="1" t="s">
        <v>68</v>
      </c>
      <c r="T325" s="1">
        <v>81</v>
      </c>
      <c r="U325" s="1">
        <v>70</v>
      </c>
      <c r="V325" s="1">
        <v>22</v>
      </c>
      <c r="W325" s="1">
        <v>73</v>
      </c>
      <c r="X325" s="1">
        <v>216</v>
      </c>
      <c r="Y325" s="5">
        <f>STREAMS_STATS[[#This Row],[Duration]]/60</f>
        <v>3.6</v>
      </c>
      <c r="Z325" s="1">
        <v>0</v>
      </c>
      <c r="AA325" s="1">
        <v>4</v>
      </c>
      <c r="AB325" s="1">
        <v>85</v>
      </c>
    </row>
    <row r="326" spans="1:28">
      <c r="A326" t="s">
        <v>546</v>
      </c>
      <c r="B326" s="1" t="s">
        <v>504</v>
      </c>
      <c r="C326" s="1" t="s">
        <v>505</v>
      </c>
      <c r="D326" s="1">
        <v>2018</v>
      </c>
      <c r="E326" s="3">
        <v>351636786</v>
      </c>
      <c r="F326" s="3" t="str" cm="1">
        <f t="array" ref="F32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26" s="1">
        <v>2742</v>
      </c>
      <c r="H326" s="1">
        <v>311</v>
      </c>
      <c r="I326" s="1">
        <v>89</v>
      </c>
      <c r="J326" s="1">
        <v>25465</v>
      </c>
      <c r="K326" s="1">
        <v>89</v>
      </c>
      <c r="L326" s="1">
        <v>61</v>
      </c>
      <c r="M326" s="1">
        <v>4</v>
      </c>
      <c r="N326" s="1">
        <v>4313</v>
      </c>
      <c r="O326" s="1">
        <v>58</v>
      </c>
      <c r="P326" s="2">
        <f>SUM(STREAMS_STATS[[#This Row],[In Spotify Playlists]],STREAMS_STATS[[#This Row],[In Apple Playlists]],STREAMS_STATS[[#This Row],[In Deezer Playlists]],STREAMS_STATS[[#This Row],[In YouTube Playlists]])</f>
        <v>32581</v>
      </c>
      <c r="Q326" s="1">
        <v>100</v>
      </c>
      <c r="R326" s="1">
        <v>-5</v>
      </c>
      <c r="S326" s="1" t="s">
        <v>75</v>
      </c>
      <c r="T326" s="1">
        <v>64</v>
      </c>
      <c r="U326" s="1">
        <v>75</v>
      </c>
      <c r="V326" s="1">
        <v>11</v>
      </c>
      <c r="W326" s="1">
        <v>45</v>
      </c>
      <c r="X326" s="1">
        <v>186</v>
      </c>
      <c r="Y326" s="5">
        <f>STREAMS_STATS[[#This Row],[Duration]]/60</f>
        <v>3.1</v>
      </c>
      <c r="Z326" s="1">
        <v>25</v>
      </c>
      <c r="AA326" s="1">
        <v>9</v>
      </c>
      <c r="AB326" s="1">
        <v>64</v>
      </c>
    </row>
    <row r="327" spans="1:28">
      <c r="A327" t="s">
        <v>547</v>
      </c>
      <c r="B327" s="1" t="s">
        <v>548</v>
      </c>
      <c r="C327" s="1" t="s">
        <v>67</v>
      </c>
      <c r="D327" s="1">
        <v>2014</v>
      </c>
      <c r="E327" s="3">
        <v>383835984</v>
      </c>
      <c r="F327" s="3" t="str" cm="1">
        <f t="array" ref="F32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27" s="1">
        <v>2999</v>
      </c>
      <c r="H327" s="1">
        <v>222</v>
      </c>
      <c r="I327" s="1">
        <v>8</v>
      </c>
      <c r="J327" s="1">
        <v>36488</v>
      </c>
      <c r="K327" s="1">
        <v>8</v>
      </c>
      <c r="L327" s="1">
        <v>8</v>
      </c>
      <c r="M327" s="1">
        <v>2</v>
      </c>
      <c r="N327" s="1">
        <v>18748</v>
      </c>
      <c r="O327" s="1">
        <v>377</v>
      </c>
      <c r="P327" s="2">
        <f>SUM(STREAMS_STATS[[#This Row],[In Spotify Playlists]],STREAMS_STATS[[#This Row],[In Apple Playlists]],STREAMS_STATS[[#This Row],[In Deezer Playlists]],STREAMS_STATS[[#This Row],[In YouTube Playlists]])</f>
        <v>58243</v>
      </c>
      <c r="Q327" s="1">
        <v>126</v>
      </c>
      <c r="R327" s="1">
        <v>-4</v>
      </c>
      <c r="S327" s="1" t="s">
        <v>75</v>
      </c>
      <c r="T327" s="1">
        <v>92</v>
      </c>
      <c r="U327" s="1">
        <v>71</v>
      </c>
      <c r="V327" s="1">
        <v>27</v>
      </c>
      <c r="W327" s="1">
        <v>98</v>
      </c>
      <c r="X327" s="1">
        <v>232</v>
      </c>
      <c r="Y327" s="5">
        <f>STREAMS_STATS[[#This Row],[Duration]]/60</f>
        <v>3.8666666666666667</v>
      </c>
      <c r="Z327" s="1">
        <v>0</v>
      </c>
      <c r="AA327" s="1">
        <v>4</v>
      </c>
      <c r="AB327" s="1">
        <v>65</v>
      </c>
    </row>
    <row r="328" spans="1:28">
      <c r="A328" t="s">
        <v>549</v>
      </c>
      <c r="B328" s="1" t="s">
        <v>117</v>
      </c>
      <c r="C328" s="1" t="s">
        <v>67</v>
      </c>
      <c r="D328" s="1">
        <v>2011</v>
      </c>
      <c r="E328" s="3">
        <v>203221468</v>
      </c>
      <c r="F328" s="3" t="str" cm="1">
        <f t="array" ref="F32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28" s="1">
        <v>1443</v>
      </c>
      <c r="H328" s="1">
        <v>303</v>
      </c>
      <c r="I328" s="1">
        <v>99</v>
      </c>
      <c r="J328" s="1">
        <v>34851</v>
      </c>
      <c r="K328" s="1">
        <v>93</v>
      </c>
      <c r="L328" s="1">
        <v>4130</v>
      </c>
      <c r="M328" s="1">
        <v>51</v>
      </c>
      <c r="N328" s="1">
        <v>17698</v>
      </c>
      <c r="O328" s="1">
        <v>343</v>
      </c>
      <c r="P328" s="2">
        <f>SUM(STREAMS_STATS[[#This Row],[In Spotify Playlists]],STREAMS_STATS[[#This Row],[In Apple Playlists]],STREAMS_STATS[[#This Row],[In Deezer Playlists]],STREAMS_STATS[[#This Row],[In YouTube Playlists]])</f>
        <v>58122</v>
      </c>
      <c r="Q328" s="1">
        <v>130</v>
      </c>
      <c r="R328" s="1">
        <v>-4</v>
      </c>
      <c r="S328" s="1" t="s">
        <v>75</v>
      </c>
      <c r="T328" s="1">
        <v>88</v>
      </c>
      <c r="U328" s="1">
        <v>50</v>
      </c>
      <c r="V328" s="1">
        <v>22</v>
      </c>
      <c r="W328" s="1">
        <v>37</v>
      </c>
      <c r="X328" s="1">
        <v>279</v>
      </c>
      <c r="Y328" s="5">
        <f>STREAMS_STATS[[#This Row],[Duration]]/60</f>
        <v>4.6500000000000004</v>
      </c>
      <c r="Z328" s="1">
        <v>39</v>
      </c>
      <c r="AA328" s="1">
        <v>38</v>
      </c>
      <c r="AB328" s="1">
        <v>28</v>
      </c>
    </row>
    <row r="329" spans="1:28">
      <c r="A329" t="s">
        <v>550</v>
      </c>
      <c r="B329" s="1" t="s">
        <v>551</v>
      </c>
      <c r="C329" s="1" t="s">
        <v>552</v>
      </c>
      <c r="D329" s="1">
        <v>2011</v>
      </c>
      <c r="E329" s="3">
        <v>756907987</v>
      </c>
      <c r="F329" s="3" t="str" cm="1">
        <f t="array" ref="F32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29" s="1">
        <v>6596</v>
      </c>
      <c r="H329" s="1">
        <v>282</v>
      </c>
      <c r="I329" s="1">
        <v>408</v>
      </c>
      <c r="J329" s="1">
        <v>992</v>
      </c>
      <c r="K329" s="1">
        <v>56</v>
      </c>
      <c r="L329" s="1">
        <v>6971</v>
      </c>
      <c r="M329" s="1">
        <v>98</v>
      </c>
      <c r="N329" s="1">
        <v>31908</v>
      </c>
      <c r="O329" s="1">
        <v>322</v>
      </c>
      <c r="P329" s="2">
        <f>SUM(STREAMS_STATS[[#This Row],[In Spotify Playlists]],STREAMS_STATS[[#This Row],[In Apple Playlists]],STREAMS_STATS[[#This Row],[In Deezer Playlists]],STREAMS_STATS[[#This Row],[In YouTube Playlists]])</f>
        <v>46467</v>
      </c>
      <c r="Q329" s="1">
        <v>125</v>
      </c>
      <c r="R329" s="1">
        <v>-6</v>
      </c>
      <c r="S329" s="1" t="s">
        <v>75</v>
      </c>
      <c r="T329" s="1">
        <v>69</v>
      </c>
      <c r="U329" s="1">
        <v>63</v>
      </c>
      <c r="V329" s="1">
        <v>67</v>
      </c>
      <c r="W329" s="1">
        <v>10</v>
      </c>
      <c r="X329" s="1">
        <v>379</v>
      </c>
      <c r="Y329" s="5">
        <f>STREAMS_STATS[[#This Row],[Duration]]/60</f>
        <v>6.3166666666666664</v>
      </c>
      <c r="Z329" s="1">
        <v>0</v>
      </c>
      <c r="AA329" s="1">
        <v>20</v>
      </c>
      <c r="AB329" s="1">
        <v>73</v>
      </c>
    </row>
    <row r="330" spans="1:28">
      <c r="A330" t="s">
        <v>553</v>
      </c>
      <c r="B330" s="1" t="s">
        <v>408</v>
      </c>
      <c r="C330" s="1" t="s">
        <v>67</v>
      </c>
      <c r="D330" s="1">
        <v>2013</v>
      </c>
      <c r="E330" s="3">
        <v>345031710</v>
      </c>
      <c r="F330" s="3" t="str" cm="1">
        <f t="array" ref="F33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30" s="1">
        <v>2668</v>
      </c>
      <c r="H330" s="1">
        <v>250</v>
      </c>
      <c r="I330" s="1">
        <v>44</v>
      </c>
      <c r="J330" s="1">
        <v>27106</v>
      </c>
      <c r="K330" s="1">
        <v>44</v>
      </c>
      <c r="L330" s="2">
        <v>6551</v>
      </c>
      <c r="M330" s="1">
        <v>2</v>
      </c>
      <c r="N330" s="1">
        <v>4441</v>
      </c>
      <c r="O330" s="1">
        <v>155</v>
      </c>
      <c r="P330" s="2">
        <f>SUM(STREAMS_STATS[[#This Row],[In Spotify Playlists]],STREAMS_STATS[[#This Row],[In Apple Playlists]],STREAMS_STATS[[#This Row],[In Deezer Playlists]],STREAMS_STATS[[#This Row],[In YouTube Playlists]])</f>
        <v>40766</v>
      </c>
      <c r="Q330" s="1">
        <v>121</v>
      </c>
      <c r="R330" s="1">
        <v>-5</v>
      </c>
      <c r="S330" s="1" t="s">
        <v>68</v>
      </c>
      <c r="T330" s="1">
        <v>74</v>
      </c>
      <c r="U330" s="1">
        <v>85</v>
      </c>
      <c r="V330" s="1">
        <v>55</v>
      </c>
      <c r="W330" s="1">
        <v>77</v>
      </c>
      <c r="X330" s="1">
        <v>224</v>
      </c>
      <c r="Y330" s="5">
        <f>STREAMS_STATS[[#This Row],[Duration]]/60</f>
        <v>3.7333333333333334</v>
      </c>
      <c r="Z330" s="1">
        <v>0</v>
      </c>
      <c r="AA330" s="1">
        <v>9</v>
      </c>
      <c r="AB330" s="1">
        <v>63</v>
      </c>
    </row>
    <row r="331" spans="1:28">
      <c r="A331" t="s">
        <v>554</v>
      </c>
      <c r="B331" s="1" t="s">
        <v>332</v>
      </c>
      <c r="C331" s="1" t="s">
        <v>67</v>
      </c>
      <c r="D331" s="1">
        <v>2018</v>
      </c>
      <c r="E331" s="3">
        <v>354065229</v>
      </c>
      <c r="F331" s="3" t="str" cm="1">
        <f t="array" ref="F33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31" s="1">
        <v>2775</v>
      </c>
      <c r="H331" s="1">
        <v>169</v>
      </c>
      <c r="I331" s="1">
        <v>36</v>
      </c>
      <c r="J331" s="1">
        <v>38120</v>
      </c>
      <c r="K331" s="1">
        <v>36</v>
      </c>
      <c r="L331" s="1">
        <v>150</v>
      </c>
      <c r="M331" s="1">
        <v>16</v>
      </c>
      <c r="N331" s="1">
        <v>37377</v>
      </c>
      <c r="O331" s="1">
        <v>25</v>
      </c>
      <c r="P331" s="2">
        <f>SUM(STREAMS_STATS[[#This Row],[In Spotify Playlists]],STREAMS_STATS[[#This Row],[In Apple Playlists]],STREAMS_STATS[[#This Row],[In Deezer Playlists]],STREAMS_STATS[[#This Row],[In YouTube Playlists]])</f>
        <v>78422</v>
      </c>
      <c r="Q331" s="1">
        <v>100</v>
      </c>
      <c r="R331" s="1">
        <v>-4</v>
      </c>
      <c r="S331" s="1" t="s">
        <v>68</v>
      </c>
      <c r="T331" s="1">
        <v>87</v>
      </c>
      <c r="U331" s="1">
        <v>76</v>
      </c>
      <c r="V331" s="1">
        <v>7</v>
      </c>
      <c r="W331" s="1">
        <v>90</v>
      </c>
      <c r="X331" s="1">
        <v>169</v>
      </c>
      <c r="Y331" s="5">
        <f>STREAMS_STATS[[#This Row],[Duration]]/60</f>
        <v>2.8166666666666669</v>
      </c>
      <c r="Z331" s="1">
        <v>3</v>
      </c>
      <c r="AA331" s="1">
        <v>5</v>
      </c>
      <c r="AB331" s="1">
        <v>64</v>
      </c>
    </row>
    <row r="332" spans="1:28">
      <c r="A332" t="s">
        <v>555</v>
      </c>
      <c r="B332" s="1" t="s">
        <v>32</v>
      </c>
      <c r="C332" s="1" t="s">
        <v>25</v>
      </c>
      <c r="D332" s="1">
        <v>2011</v>
      </c>
      <c r="E332" s="3">
        <v>1022258230</v>
      </c>
      <c r="F332" s="3" t="str" cm="1">
        <f t="array" ref="F332">_xlfn.IFS(STREAMS_STATS[[#This Row],[Streams]] &gt;= 1000000000, "1B+", STREAMS_STATS[[#This Row],[Streams]] &gt;= 500000000, "500M–1B", STREAMS_STATS[[#This Row],[Streams]] &gt;= 250000000, "250M–500M", TRUE, "Under 250M")</f>
        <v>1B+</v>
      </c>
      <c r="G332" s="1">
        <v>9037</v>
      </c>
      <c r="H332" s="1">
        <v>91</v>
      </c>
      <c r="I332" s="1">
        <v>438</v>
      </c>
      <c r="J332" s="1">
        <v>12284</v>
      </c>
      <c r="K332" s="1">
        <v>67</v>
      </c>
      <c r="L332" s="1">
        <v>8045</v>
      </c>
      <c r="M332" s="1">
        <v>56</v>
      </c>
      <c r="N332" s="1">
        <v>1067</v>
      </c>
      <c r="O332" s="1">
        <v>239</v>
      </c>
      <c r="P332" s="2">
        <f>SUM(STREAMS_STATS[[#This Row],[In Spotify Playlists]],STREAMS_STATS[[#This Row],[In Apple Playlists]],STREAMS_STATS[[#This Row],[In Deezer Playlists]],STREAMS_STATS[[#This Row],[In YouTube Playlists]])</f>
        <v>30433</v>
      </c>
      <c r="Q332" s="1">
        <v>128</v>
      </c>
      <c r="R332" s="1">
        <v>-4</v>
      </c>
      <c r="S332" s="1" t="s">
        <v>75</v>
      </c>
      <c r="T332" s="1">
        <v>76</v>
      </c>
      <c r="U332" s="1">
        <v>72</v>
      </c>
      <c r="V332" s="1">
        <v>32</v>
      </c>
      <c r="W332" s="1">
        <v>62</v>
      </c>
      <c r="X332" s="1">
        <v>201</v>
      </c>
      <c r="Y332" s="5">
        <f>STREAMS_STATS[[#This Row],[Duration]]/60</f>
        <v>3.35</v>
      </c>
      <c r="Z332" s="1">
        <v>1</v>
      </c>
      <c r="AA332" s="1">
        <v>5</v>
      </c>
      <c r="AB332" s="1">
        <v>85</v>
      </c>
    </row>
    <row r="333" spans="1:28">
      <c r="A333" t="s">
        <v>556</v>
      </c>
      <c r="B333" s="1" t="s">
        <v>557</v>
      </c>
      <c r="C333" s="1" t="s">
        <v>67</v>
      </c>
      <c r="D333" s="1">
        <v>2015</v>
      </c>
      <c r="E333" s="3">
        <v>223319934</v>
      </c>
      <c r="F333" s="3" t="str" cm="1">
        <f t="array" ref="F33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33" s="1">
        <v>1553</v>
      </c>
      <c r="H333" s="1">
        <v>217</v>
      </c>
      <c r="I333" s="1">
        <v>4</v>
      </c>
      <c r="J333" s="1">
        <v>30822</v>
      </c>
      <c r="K333" s="1">
        <v>4</v>
      </c>
      <c r="L333" s="1">
        <v>48</v>
      </c>
      <c r="M333" s="1">
        <v>7</v>
      </c>
      <c r="N333" s="1">
        <v>12174</v>
      </c>
      <c r="O333" s="1">
        <v>325</v>
      </c>
      <c r="P333" s="2">
        <f>SUM(STREAMS_STATS[[#This Row],[In Spotify Playlists]],STREAMS_STATS[[#This Row],[In Apple Playlists]],STREAMS_STATS[[#This Row],[In Deezer Playlists]],STREAMS_STATS[[#This Row],[In YouTube Playlists]])</f>
        <v>44597</v>
      </c>
      <c r="Q333" s="1">
        <v>128</v>
      </c>
      <c r="R333" s="1">
        <v>-6</v>
      </c>
      <c r="S333" s="1" t="s">
        <v>68</v>
      </c>
      <c r="T333" s="1">
        <v>78</v>
      </c>
      <c r="U333" s="1">
        <v>80</v>
      </c>
      <c r="V333" s="1">
        <v>4</v>
      </c>
      <c r="W333" s="1">
        <v>83</v>
      </c>
      <c r="X333" s="1">
        <v>196</v>
      </c>
      <c r="Y333" s="5">
        <f>STREAMS_STATS[[#This Row],[Duration]]/60</f>
        <v>3.2666666666666666</v>
      </c>
      <c r="Z333" s="1">
        <v>1</v>
      </c>
      <c r="AA333" s="1">
        <v>18</v>
      </c>
      <c r="AB333" s="1">
        <v>42</v>
      </c>
    </row>
    <row r="334" spans="1:28">
      <c r="A334" t="s">
        <v>558</v>
      </c>
      <c r="B334" s="1" t="s">
        <v>117</v>
      </c>
      <c r="C334" s="1" t="s">
        <v>67</v>
      </c>
      <c r="D334" s="1">
        <v>2011</v>
      </c>
      <c r="E334" s="3">
        <v>1365184</v>
      </c>
      <c r="F334" s="3" t="str" cm="1">
        <f t="array" ref="F334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34" s="1">
        <v>1370</v>
      </c>
      <c r="H334" s="1">
        <v>188</v>
      </c>
      <c r="I334" s="1">
        <v>29</v>
      </c>
      <c r="J334" s="1">
        <v>33633</v>
      </c>
      <c r="K334" s="1">
        <v>71</v>
      </c>
      <c r="L334" s="1">
        <v>8702</v>
      </c>
      <c r="M334" s="1">
        <v>172</v>
      </c>
      <c r="N334" s="1">
        <v>29133</v>
      </c>
      <c r="O334" s="1">
        <v>46</v>
      </c>
      <c r="P334" s="2">
        <f>SUM(STREAMS_STATS[[#This Row],[In Spotify Playlists]],STREAMS_STATS[[#This Row],[In Apple Playlists]],STREAMS_STATS[[#This Row],[In Deezer Playlists]],STREAMS_STATS[[#This Row],[In YouTube Playlists]])</f>
        <v>72838</v>
      </c>
      <c r="Q334" s="1">
        <v>98</v>
      </c>
      <c r="R334" s="1">
        <v>-5</v>
      </c>
      <c r="S334" s="1" t="s">
        <v>68</v>
      </c>
      <c r="T334" s="1">
        <v>72</v>
      </c>
      <c r="U334" s="1">
        <v>80</v>
      </c>
      <c r="V334" s="1">
        <v>19</v>
      </c>
      <c r="W334" s="1">
        <v>53</v>
      </c>
      <c r="X334" s="1">
        <v>227</v>
      </c>
      <c r="Y334" s="5">
        <f>STREAMS_STATS[[#This Row],[Duration]]/60</f>
        <v>3.7833333333333332</v>
      </c>
      <c r="Z334" s="1">
        <v>56</v>
      </c>
      <c r="AA334" s="1">
        <v>33</v>
      </c>
      <c r="AB334" s="1">
        <v>7</v>
      </c>
    </row>
    <row r="335" spans="1:28">
      <c r="A335" t="s">
        <v>559</v>
      </c>
      <c r="B335" s="1" t="s">
        <v>560</v>
      </c>
      <c r="C335" s="1" t="s">
        <v>67</v>
      </c>
      <c r="D335" s="1">
        <v>2010</v>
      </c>
      <c r="E335" s="3">
        <v>338564981</v>
      </c>
      <c r="F335" s="3" t="str" cm="1">
        <f t="array" ref="F33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35" s="1">
        <v>2610</v>
      </c>
      <c r="H335" s="1">
        <v>130</v>
      </c>
      <c r="I335" s="1">
        <v>196</v>
      </c>
      <c r="J335" s="1">
        <v>23834</v>
      </c>
      <c r="K335" s="1">
        <v>57</v>
      </c>
      <c r="L335" s="1">
        <v>8738</v>
      </c>
      <c r="M335" s="1">
        <v>73</v>
      </c>
      <c r="N335" s="1">
        <v>6514</v>
      </c>
      <c r="O335" s="1">
        <v>377</v>
      </c>
      <c r="P335" s="2">
        <f>SUM(STREAMS_STATS[[#This Row],[In Spotify Playlists]],STREAMS_STATS[[#This Row],[In Apple Playlists]],STREAMS_STATS[[#This Row],[In Deezer Playlists]],STREAMS_STATS[[#This Row],[In YouTube Playlists]])</f>
        <v>41696</v>
      </c>
      <c r="Q335" s="1">
        <v>138</v>
      </c>
      <c r="R335" s="1">
        <v>-4</v>
      </c>
      <c r="S335" s="1" t="s">
        <v>68</v>
      </c>
      <c r="T335" s="1">
        <v>89</v>
      </c>
      <c r="U335" s="1">
        <v>68</v>
      </c>
      <c r="V335" s="1">
        <v>36</v>
      </c>
      <c r="W335" s="1">
        <v>83</v>
      </c>
      <c r="X335" s="1">
        <v>192</v>
      </c>
      <c r="Y335" s="5">
        <f>STREAMS_STATS[[#This Row],[Duration]]/60</f>
        <v>3.2</v>
      </c>
      <c r="Z335" s="1">
        <v>1</v>
      </c>
      <c r="AA335" s="1">
        <v>8</v>
      </c>
      <c r="AB335" s="1">
        <v>62</v>
      </c>
    </row>
    <row r="336" spans="1:28">
      <c r="A336" t="s">
        <v>561</v>
      </c>
      <c r="B336" s="1" t="s">
        <v>243</v>
      </c>
      <c r="C336" s="1" t="s">
        <v>67</v>
      </c>
      <c r="D336" s="1">
        <v>2015</v>
      </c>
      <c r="E336" s="3">
        <v>1093605526</v>
      </c>
      <c r="F336" s="3" t="str" cm="1">
        <f t="array" ref="F336">_xlfn.IFS(STREAMS_STATS[[#This Row],[Streams]] &gt;= 1000000000, "1B+", STREAMS_STATS[[#This Row],[Streams]] &gt;= 500000000, "500M–1B", STREAMS_STATS[[#This Row],[Streams]] &gt;= 250000000, "250M–500M", TRUE, "Under 250M")</f>
        <v>1B+</v>
      </c>
      <c r="G336" s="1">
        <v>9724</v>
      </c>
      <c r="H336" s="1">
        <v>100</v>
      </c>
      <c r="I336" s="1">
        <v>2</v>
      </c>
      <c r="J336" s="1">
        <v>39867</v>
      </c>
      <c r="K336" s="1">
        <v>2</v>
      </c>
      <c r="L336" s="1">
        <v>30</v>
      </c>
      <c r="M336" s="1">
        <v>36</v>
      </c>
      <c r="N336" s="1">
        <v>1161</v>
      </c>
      <c r="O336" s="1">
        <v>362</v>
      </c>
      <c r="P336" s="2">
        <f>SUM(STREAMS_STATS[[#This Row],[In Spotify Playlists]],STREAMS_STATS[[#This Row],[In Apple Playlists]],STREAMS_STATS[[#This Row],[In Deezer Playlists]],STREAMS_STATS[[#This Row],[In YouTube Playlists]])</f>
        <v>50782</v>
      </c>
      <c r="Q336" s="1">
        <v>94</v>
      </c>
      <c r="R336" s="1">
        <v>-5</v>
      </c>
      <c r="S336" s="1" t="s">
        <v>68</v>
      </c>
      <c r="T336" s="1">
        <v>70</v>
      </c>
      <c r="U336" s="1">
        <v>69</v>
      </c>
      <c r="V336" s="1">
        <v>13</v>
      </c>
      <c r="W336" s="1">
        <v>74</v>
      </c>
      <c r="X336" s="1">
        <v>192</v>
      </c>
      <c r="Y336" s="5">
        <f>STREAMS_STATS[[#This Row],[Duration]]/60</f>
        <v>3.2</v>
      </c>
      <c r="Z336" s="1">
        <v>2</v>
      </c>
      <c r="AA336" s="1">
        <v>5</v>
      </c>
      <c r="AB336" s="1">
        <v>77</v>
      </c>
    </row>
    <row r="337" spans="1:28">
      <c r="A337" t="s">
        <v>562</v>
      </c>
      <c r="B337" s="1" t="s">
        <v>563</v>
      </c>
      <c r="C337" s="1" t="s">
        <v>67</v>
      </c>
      <c r="D337" s="1">
        <v>2018</v>
      </c>
      <c r="E337" s="3">
        <v>920045682</v>
      </c>
      <c r="F337" s="3" t="str" cm="1">
        <f t="array" ref="F33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37" s="1">
        <v>8207</v>
      </c>
      <c r="H337" s="1">
        <v>97</v>
      </c>
      <c r="I337" s="1">
        <v>18</v>
      </c>
      <c r="J337" s="1">
        <v>15721</v>
      </c>
      <c r="K337" s="1">
        <v>18</v>
      </c>
      <c r="L337" s="1">
        <v>478</v>
      </c>
      <c r="M337" s="1">
        <v>23</v>
      </c>
      <c r="N337" s="1">
        <v>34482</v>
      </c>
      <c r="O337" s="1">
        <v>296</v>
      </c>
      <c r="P337" s="2">
        <f>SUM(STREAMS_STATS[[#This Row],[In Spotify Playlists]],STREAMS_STATS[[#This Row],[In Apple Playlists]],STREAMS_STATS[[#This Row],[In Deezer Playlists]],STREAMS_STATS[[#This Row],[In YouTube Playlists]])</f>
        <v>58888</v>
      </c>
      <c r="Q337" s="1">
        <v>103</v>
      </c>
      <c r="R337" s="1">
        <v>-8</v>
      </c>
      <c r="S337" s="1" t="s">
        <v>75</v>
      </c>
      <c r="T337" s="1">
        <v>46</v>
      </c>
      <c r="U337" s="1">
        <v>70</v>
      </c>
      <c r="V337" s="1">
        <v>5</v>
      </c>
      <c r="W337" s="1">
        <v>48</v>
      </c>
      <c r="X337" s="1">
        <v>205</v>
      </c>
      <c r="Y337" s="5">
        <f>STREAMS_STATS[[#This Row],[Duration]]/60</f>
        <v>3.4166666666666665</v>
      </c>
      <c r="Z337" s="1">
        <v>0</v>
      </c>
      <c r="AA337" s="1">
        <v>8</v>
      </c>
      <c r="AB337" s="1">
        <v>76</v>
      </c>
    </row>
    <row r="338" spans="1:28">
      <c r="A338" t="s">
        <v>564</v>
      </c>
      <c r="B338" s="1" t="s">
        <v>34</v>
      </c>
      <c r="C338" s="1" t="s">
        <v>67</v>
      </c>
      <c r="D338" s="1">
        <v>2017</v>
      </c>
      <c r="E338" s="3">
        <v>1168642797</v>
      </c>
      <c r="F338" s="3" t="str" cm="1">
        <f t="array" ref="F338">_xlfn.IFS(STREAMS_STATS[[#This Row],[Streams]] &gt;= 1000000000, "1B+", STREAMS_STATS[[#This Row],[Streams]] &gt;= 500000000, "500M–1B", STREAMS_STATS[[#This Row],[Streams]] &gt;= 250000000, "250M–500M", TRUE, "Under 250M")</f>
        <v>1B+</v>
      </c>
      <c r="G338" s="1">
        <v>11087</v>
      </c>
      <c r="H338" s="1">
        <v>76</v>
      </c>
      <c r="I338" s="1">
        <v>26</v>
      </c>
      <c r="J338" s="1">
        <v>1232</v>
      </c>
      <c r="K338" s="1">
        <v>26</v>
      </c>
      <c r="L338" s="1">
        <v>277</v>
      </c>
      <c r="M338" s="1">
        <v>3</v>
      </c>
      <c r="N338" s="1">
        <v>19591</v>
      </c>
      <c r="O338" s="1">
        <v>311</v>
      </c>
      <c r="P338" s="2">
        <f>SUM(STREAMS_STATS[[#This Row],[In Spotify Playlists]],STREAMS_STATS[[#This Row],[In Apple Playlists]],STREAMS_STATS[[#This Row],[In Deezer Playlists]],STREAMS_STATS[[#This Row],[In YouTube Playlists]])</f>
        <v>32187</v>
      </c>
      <c r="Q338" s="1">
        <v>120</v>
      </c>
      <c r="R338" s="1">
        <v>-3</v>
      </c>
      <c r="S338" s="1" t="s">
        <v>68</v>
      </c>
      <c r="T338" s="1">
        <v>91</v>
      </c>
      <c r="U338" s="1">
        <v>82</v>
      </c>
      <c r="V338" s="1">
        <v>16</v>
      </c>
      <c r="W338" s="1">
        <v>54</v>
      </c>
      <c r="X338" s="1">
        <v>219</v>
      </c>
      <c r="Y338" s="5">
        <f>STREAMS_STATS[[#This Row],[Duration]]/60</f>
        <v>3.65</v>
      </c>
      <c r="Z338" s="1">
        <v>9</v>
      </c>
      <c r="AA338" s="1">
        <v>4</v>
      </c>
      <c r="AB338" s="1">
        <v>78</v>
      </c>
    </row>
    <row r="339" spans="1:28">
      <c r="A339" t="s">
        <v>565</v>
      </c>
      <c r="B339" s="1" t="s">
        <v>521</v>
      </c>
      <c r="C339" s="1" t="s">
        <v>67</v>
      </c>
      <c r="D339" s="1">
        <v>2010</v>
      </c>
      <c r="E339" s="3">
        <v>366599607</v>
      </c>
      <c r="F339" s="3" t="str" cm="1">
        <f t="array" ref="F33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39" s="1">
        <v>2876</v>
      </c>
      <c r="H339" s="1">
        <v>290</v>
      </c>
      <c r="I339" s="1">
        <v>70</v>
      </c>
      <c r="J339" s="1">
        <v>39001</v>
      </c>
      <c r="K339" s="1">
        <v>64</v>
      </c>
      <c r="L339" s="1">
        <v>8545</v>
      </c>
      <c r="M339" s="1">
        <v>113</v>
      </c>
      <c r="N339" s="1">
        <v>10391</v>
      </c>
      <c r="O339" s="1">
        <v>157</v>
      </c>
      <c r="P339" s="2">
        <f>SUM(STREAMS_STATS[[#This Row],[In Spotify Playlists]],STREAMS_STATS[[#This Row],[In Apple Playlists]],STREAMS_STATS[[#This Row],[In Deezer Playlists]],STREAMS_STATS[[#This Row],[In YouTube Playlists]])</f>
        <v>60813</v>
      </c>
      <c r="Q339" s="1">
        <v>133</v>
      </c>
      <c r="R339" s="1">
        <v>-5</v>
      </c>
      <c r="S339" s="1" t="s">
        <v>68</v>
      </c>
      <c r="T339" s="1">
        <v>90</v>
      </c>
      <c r="U339" s="1">
        <v>61</v>
      </c>
      <c r="V339" s="1">
        <v>5</v>
      </c>
      <c r="W339" s="1">
        <v>88</v>
      </c>
      <c r="X339" s="1">
        <v>203</v>
      </c>
      <c r="Y339" s="5">
        <f>STREAMS_STATS[[#This Row],[Duration]]/60</f>
        <v>3.3833333333333333</v>
      </c>
      <c r="Z339" s="1">
        <v>2</v>
      </c>
      <c r="AA339" s="1">
        <v>5</v>
      </c>
      <c r="AB339" s="1">
        <v>64</v>
      </c>
    </row>
    <row r="340" spans="1:28">
      <c r="A340" t="s">
        <v>566</v>
      </c>
      <c r="B340" s="1" t="s">
        <v>39</v>
      </c>
      <c r="C340" s="1" t="s">
        <v>115</v>
      </c>
      <c r="D340" s="1">
        <v>2016</v>
      </c>
      <c r="E340" s="3">
        <v>1445941661</v>
      </c>
      <c r="F340" s="3" t="str" cm="1">
        <f t="array" ref="F340">_xlfn.IFS(STREAMS_STATS[[#This Row],[Streams]] &gt;= 1000000000, "1B+", STREAMS_STATS[[#This Row],[Streams]] &gt;= 500000000, "500M–1B", STREAMS_STATS[[#This Row],[Streams]] &gt;= 250000000, "250M–500M", TRUE, "Under 250M")</f>
        <v>1B+</v>
      </c>
      <c r="G340" s="1">
        <v>16413</v>
      </c>
      <c r="H340" s="1">
        <v>33</v>
      </c>
      <c r="I340" s="1">
        <v>17</v>
      </c>
      <c r="J340" s="1">
        <v>7856</v>
      </c>
      <c r="K340" s="1">
        <v>17</v>
      </c>
      <c r="L340" s="1">
        <v>208</v>
      </c>
      <c r="M340" s="1">
        <v>14</v>
      </c>
      <c r="N340" s="1">
        <v>8293</v>
      </c>
      <c r="O340" s="1">
        <v>43</v>
      </c>
      <c r="P340" s="2">
        <f>SUM(STREAMS_STATS[[#This Row],[In Spotify Playlists]],STREAMS_STATS[[#This Row],[In Apple Playlists]],STREAMS_STATS[[#This Row],[In Deezer Playlists]],STREAMS_STATS[[#This Row],[In YouTube Playlists]])</f>
        <v>32770</v>
      </c>
      <c r="Q340" s="1">
        <v>111</v>
      </c>
      <c r="R340" s="1">
        <v>-8</v>
      </c>
      <c r="S340" s="1" t="s">
        <v>68</v>
      </c>
      <c r="T340" s="1">
        <v>31</v>
      </c>
      <c r="U340" s="1">
        <v>67</v>
      </c>
      <c r="V340" s="1">
        <v>8</v>
      </c>
      <c r="W340" s="1">
        <v>30</v>
      </c>
      <c r="X340" s="1">
        <v>192</v>
      </c>
      <c r="Y340" s="5">
        <f>STREAMS_STATS[[#This Row],[Duration]]/60</f>
        <v>3.2</v>
      </c>
      <c r="Z340" s="1">
        <v>11</v>
      </c>
      <c r="AA340" s="1">
        <v>24</v>
      </c>
      <c r="AB340" s="1">
        <v>80</v>
      </c>
    </row>
    <row r="341" spans="1:28">
      <c r="A341" t="s">
        <v>567</v>
      </c>
      <c r="B341" s="1" t="s">
        <v>33</v>
      </c>
      <c r="C341" s="1" t="s">
        <v>134</v>
      </c>
      <c r="D341" s="1">
        <v>2018</v>
      </c>
      <c r="E341" s="3">
        <v>579395142</v>
      </c>
      <c r="F341" s="3" t="str" cm="1">
        <f t="array" ref="F34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41" s="1">
        <v>4651</v>
      </c>
      <c r="H341" s="1">
        <v>256</v>
      </c>
      <c r="I341" s="1">
        <v>16</v>
      </c>
      <c r="J341" s="1">
        <v>26040</v>
      </c>
      <c r="K341" s="1">
        <v>16</v>
      </c>
      <c r="L341" s="1">
        <v>65</v>
      </c>
      <c r="M341" s="1">
        <v>3</v>
      </c>
      <c r="N341" s="1">
        <v>16593</v>
      </c>
      <c r="O341" s="1">
        <v>220</v>
      </c>
      <c r="P341" s="2">
        <f>SUM(STREAMS_STATS[[#This Row],[In Spotify Playlists]],STREAMS_STATS[[#This Row],[In Apple Playlists]],STREAMS_STATS[[#This Row],[In Deezer Playlists]],STREAMS_STATS[[#This Row],[In YouTube Playlists]])</f>
        <v>47349</v>
      </c>
      <c r="Q341" s="1">
        <v>122</v>
      </c>
      <c r="R341" s="1">
        <v>-7</v>
      </c>
      <c r="S341" s="1" t="s">
        <v>68</v>
      </c>
      <c r="T341" s="1">
        <v>62</v>
      </c>
      <c r="U341" s="1">
        <v>84</v>
      </c>
      <c r="V341" s="1">
        <v>13</v>
      </c>
      <c r="W341" s="1">
        <v>74</v>
      </c>
      <c r="X341" s="1">
        <v>164</v>
      </c>
      <c r="Y341" s="5">
        <f>STREAMS_STATS[[#This Row],[Duration]]/60</f>
        <v>2.7333333333333334</v>
      </c>
      <c r="Z341" s="1">
        <v>4</v>
      </c>
      <c r="AA341" s="1">
        <v>8</v>
      </c>
      <c r="AB341" s="1">
        <v>71</v>
      </c>
    </row>
    <row r="342" spans="1:28">
      <c r="A342" t="s">
        <v>568</v>
      </c>
      <c r="B342" s="1" t="s">
        <v>264</v>
      </c>
      <c r="C342" s="1" t="s">
        <v>67</v>
      </c>
      <c r="D342" s="1">
        <v>2018</v>
      </c>
      <c r="E342" s="3">
        <v>284249832</v>
      </c>
      <c r="F342" s="3" t="str" cm="1">
        <f t="array" ref="F34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42" s="1">
        <v>2107</v>
      </c>
      <c r="H342" s="1">
        <v>254</v>
      </c>
      <c r="I342" s="1">
        <v>53</v>
      </c>
      <c r="J342" s="1">
        <v>39594</v>
      </c>
      <c r="K342" s="1">
        <v>53</v>
      </c>
      <c r="L342" s="1">
        <v>134</v>
      </c>
      <c r="M342" s="1">
        <v>1</v>
      </c>
      <c r="N342" s="1">
        <v>39265</v>
      </c>
      <c r="O342" s="1">
        <v>389</v>
      </c>
      <c r="P342" s="2">
        <f>SUM(STREAMS_STATS[[#This Row],[In Spotify Playlists]],STREAMS_STATS[[#This Row],[In Apple Playlists]],STREAMS_STATS[[#This Row],[In Deezer Playlists]],STREAMS_STATS[[#This Row],[In YouTube Playlists]])</f>
        <v>81100</v>
      </c>
      <c r="Q342" s="1">
        <v>130</v>
      </c>
      <c r="R342" s="1">
        <v>-4</v>
      </c>
      <c r="S342" s="1" t="s">
        <v>68</v>
      </c>
      <c r="T342" s="1">
        <v>69</v>
      </c>
      <c r="U342" s="1">
        <v>63</v>
      </c>
      <c r="V342" s="1">
        <v>12</v>
      </c>
      <c r="W342" s="1">
        <v>25</v>
      </c>
      <c r="X342" s="1">
        <v>227</v>
      </c>
      <c r="Y342" s="5">
        <f>STREAMS_STATS[[#This Row],[Duration]]/60</f>
        <v>3.7833333333333332</v>
      </c>
      <c r="Z342" s="1">
        <v>16</v>
      </c>
      <c r="AA342" s="1">
        <v>9</v>
      </c>
      <c r="AB342" s="1">
        <v>57</v>
      </c>
    </row>
    <row r="343" spans="1:28">
      <c r="A343" t="s">
        <v>569</v>
      </c>
      <c r="B343" s="1" t="s">
        <v>570</v>
      </c>
      <c r="C343" s="1" t="s">
        <v>67</v>
      </c>
      <c r="D343" s="1">
        <v>2015</v>
      </c>
      <c r="E343" s="3">
        <v>1062956628</v>
      </c>
      <c r="F343" s="3" t="str" cm="1">
        <f t="array" ref="F343">_xlfn.IFS(STREAMS_STATS[[#This Row],[Streams]] &gt;= 1000000000, "1B+", STREAMS_STATS[[#This Row],[Streams]] &gt;= 500000000, "500M–1B", STREAMS_STATS[[#This Row],[Streams]] &gt;= 250000000, "250M–500M", TRUE, "Under 250M")</f>
        <v>1B+</v>
      </c>
      <c r="G343" s="1">
        <v>9514</v>
      </c>
      <c r="H343" s="1">
        <v>63</v>
      </c>
      <c r="I343" s="1">
        <v>13</v>
      </c>
      <c r="J343" s="1">
        <v>17786</v>
      </c>
      <c r="K343" s="1">
        <v>27</v>
      </c>
      <c r="L343" s="1">
        <v>24</v>
      </c>
      <c r="M343" s="1">
        <v>45</v>
      </c>
      <c r="N343" s="1">
        <v>21541</v>
      </c>
      <c r="O343" s="1">
        <v>11</v>
      </c>
      <c r="P343" s="2">
        <f>SUM(STREAMS_STATS[[#This Row],[In Spotify Playlists]],STREAMS_STATS[[#This Row],[In Apple Playlists]],STREAMS_STATS[[#This Row],[In Deezer Playlists]],STREAMS_STATS[[#This Row],[In YouTube Playlists]])</f>
        <v>48865</v>
      </c>
      <c r="Q343" s="1">
        <v>146</v>
      </c>
      <c r="R343" s="1">
        <v>-6</v>
      </c>
      <c r="S343" s="1" t="s">
        <v>75</v>
      </c>
      <c r="T343" s="1">
        <v>73</v>
      </c>
      <c r="U343" s="1">
        <v>58</v>
      </c>
      <c r="V343" s="1">
        <v>27</v>
      </c>
      <c r="W343" s="1">
        <v>28</v>
      </c>
      <c r="X343" s="1">
        <v>213</v>
      </c>
      <c r="Y343" s="5">
        <f>STREAMS_STATS[[#This Row],[Duration]]/60</f>
        <v>3.55</v>
      </c>
      <c r="Z343" s="1">
        <v>0</v>
      </c>
      <c r="AA343" s="1">
        <v>5</v>
      </c>
      <c r="AB343" s="1">
        <v>77</v>
      </c>
    </row>
    <row r="344" spans="1:28">
      <c r="A344" t="s">
        <v>571</v>
      </c>
      <c r="B344" s="1" t="s">
        <v>427</v>
      </c>
      <c r="C344" s="1" t="s">
        <v>67</v>
      </c>
      <c r="D344" s="1">
        <v>2018</v>
      </c>
      <c r="E344" s="3">
        <v>1970673297</v>
      </c>
      <c r="F344" s="3" t="str" cm="1">
        <f t="array" ref="F344">_xlfn.IFS(STREAMS_STATS[[#This Row],[Streams]] &gt;= 1000000000, "1B+", STREAMS_STATS[[#This Row],[Streams]] &gt;= 500000000, "500M–1B", STREAMS_STATS[[#This Row],[Streams]] &gt;= 250000000, "250M–500M", TRUE, "Under 250M")</f>
        <v>1B+</v>
      </c>
      <c r="G344" s="1">
        <v>27119</v>
      </c>
      <c r="H344" s="1">
        <v>9</v>
      </c>
      <c r="I344" s="1">
        <v>19</v>
      </c>
      <c r="J344" s="1">
        <v>14135</v>
      </c>
      <c r="K344" s="1">
        <v>19</v>
      </c>
      <c r="L344" s="1">
        <v>738</v>
      </c>
      <c r="M344" s="1">
        <v>38</v>
      </c>
      <c r="N344" s="1">
        <v>29331</v>
      </c>
      <c r="O344" s="1">
        <v>205</v>
      </c>
      <c r="P344" s="2">
        <f>SUM(STREAMS_STATS[[#This Row],[In Spotify Playlists]],STREAMS_STATS[[#This Row],[In Apple Playlists]],STREAMS_STATS[[#This Row],[In Deezer Playlists]],STREAMS_STATS[[#This Row],[In YouTube Playlists]])</f>
        <v>71323</v>
      </c>
      <c r="Q344" s="1">
        <v>116</v>
      </c>
      <c r="R344" s="1">
        <v>-6</v>
      </c>
      <c r="S344" s="1" t="s">
        <v>75</v>
      </c>
      <c r="T344" s="1">
        <v>70</v>
      </c>
      <c r="U344" s="1">
        <v>76</v>
      </c>
      <c r="V344" s="1">
        <v>15</v>
      </c>
      <c r="W344" s="1">
        <v>61</v>
      </c>
      <c r="X344" s="1">
        <v>209</v>
      </c>
      <c r="Y344" s="5">
        <f>STREAMS_STATS[[#This Row],[Duration]]/60</f>
        <v>3.4833333333333334</v>
      </c>
      <c r="Z344" s="1">
        <v>0</v>
      </c>
      <c r="AA344" s="1">
        <v>7</v>
      </c>
      <c r="AB344" s="1">
        <v>84</v>
      </c>
    </row>
    <row r="345" spans="1:28">
      <c r="A345" t="s">
        <v>572</v>
      </c>
      <c r="B345" s="1" t="s">
        <v>241</v>
      </c>
      <c r="C345" s="1" t="s">
        <v>67</v>
      </c>
      <c r="D345" s="1">
        <v>2013</v>
      </c>
      <c r="E345" s="3">
        <v>309653982</v>
      </c>
      <c r="F345" s="3" t="str" cm="1">
        <f t="array" ref="F34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45" s="1">
        <v>2420</v>
      </c>
      <c r="H345" s="1">
        <v>327</v>
      </c>
      <c r="I345" s="1">
        <v>67</v>
      </c>
      <c r="J345" s="1">
        <v>25260</v>
      </c>
      <c r="K345" s="1">
        <v>70</v>
      </c>
      <c r="L345" s="1">
        <v>4</v>
      </c>
      <c r="M345" s="1">
        <v>23</v>
      </c>
      <c r="N345" s="1">
        <v>36604</v>
      </c>
      <c r="O345" s="1">
        <v>260</v>
      </c>
      <c r="P345" s="2">
        <f>SUM(STREAMS_STATS[[#This Row],[In Spotify Playlists]],STREAMS_STATS[[#This Row],[In Apple Playlists]],STREAMS_STATS[[#This Row],[In Deezer Playlists]],STREAMS_STATS[[#This Row],[In YouTube Playlists]])</f>
        <v>64288</v>
      </c>
      <c r="Q345" s="1">
        <v>95</v>
      </c>
      <c r="R345" s="1">
        <v>-5</v>
      </c>
      <c r="S345" s="1" t="s">
        <v>75</v>
      </c>
      <c r="T345" s="1">
        <v>80</v>
      </c>
      <c r="U345" s="1">
        <v>67</v>
      </c>
      <c r="V345" s="1">
        <v>11</v>
      </c>
      <c r="W345" s="1">
        <v>35</v>
      </c>
      <c r="X345" s="1">
        <v>197</v>
      </c>
      <c r="Y345" s="5">
        <f>STREAMS_STATS[[#This Row],[Duration]]/60</f>
        <v>3.2833333333333332</v>
      </c>
      <c r="Z345" s="1">
        <v>9</v>
      </c>
      <c r="AA345" s="1">
        <v>4</v>
      </c>
      <c r="AB345" s="1">
        <v>60</v>
      </c>
    </row>
    <row r="346" spans="1:28">
      <c r="A346" t="s">
        <v>573</v>
      </c>
      <c r="B346" s="1" t="s">
        <v>158</v>
      </c>
      <c r="C346" s="1" t="s">
        <v>159</v>
      </c>
      <c r="D346" s="1">
        <v>2015</v>
      </c>
      <c r="E346" s="3">
        <v>1085685420</v>
      </c>
      <c r="F346" s="3" t="str" cm="1">
        <f t="array" ref="F346">_xlfn.IFS(STREAMS_STATS[[#This Row],[Streams]] &gt;= 1000000000, "1B+", STREAMS_STATS[[#This Row],[Streams]] &gt;= 500000000, "500M–1B", STREAMS_STATS[[#This Row],[Streams]] &gt;= 250000000, "250M–500M", TRUE, "Under 250M")</f>
        <v>1B+</v>
      </c>
      <c r="G346" s="1">
        <v>9577</v>
      </c>
      <c r="H346" s="1">
        <v>62</v>
      </c>
      <c r="I346" s="1">
        <v>54</v>
      </c>
      <c r="J346" s="1">
        <v>7455</v>
      </c>
      <c r="K346" s="1">
        <v>65</v>
      </c>
      <c r="L346" s="1">
        <v>2</v>
      </c>
      <c r="M346" s="1">
        <v>41</v>
      </c>
      <c r="N346" s="1">
        <v>25026</v>
      </c>
      <c r="O346" s="1">
        <v>182</v>
      </c>
      <c r="P346" s="2">
        <f>SUM(STREAMS_STATS[[#This Row],[In Spotify Playlists]],STREAMS_STATS[[#This Row],[In Apple Playlists]],STREAMS_STATS[[#This Row],[In Deezer Playlists]],STREAMS_STATS[[#This Row],[In YouTube Playlists]])</f>
        <v>42060</v>
      </c>
      <c r="Q346" s="1">
        <v>120</v>
      </c>
      <c r="R346" s="1">
        <v>-8</v>
      </c>
      <c r="S346" s="1" t="s">
        <v>68</v>
      </c>
      <c r="T346" s="1">
        <v>52</v>
      </c>
      <c r="U346" s="1">
        <v>67</v>
      </c>
      <c r="V346" s="1">
        <v>12</v>
      </c>
      <c r="W346" s="1">
        <v>37</v>
      </c>
      <c r="X346" s="1">
        <v>227</v>
      </c>
      <c r="Y346" s="5">
        <f>STREAMS_STATS[[#This Row],[Duration]]/60</f>
        <v>3.7833333333333332</v>
      </c>
      <c r="Z346" s="1">
        <v>86</v>
      </c>
      <c r="AA346" s="1">
        <v>4</v>
      </c>
      <c r="AB346" s="1">
        <v>77</v>
      </c>
    </row>
    <row r="347" spans="1:28">
      <c r="A347" t="s">
        <v>574</v>
      </c>
      <c r="B347" s="1" t="s">
        <v>102</v>
      </c>
      <c r="C347" s="1" t="s">
        <v>67</v>
      </c>
      <c r="D347" s="1">
        <v>2016</v>
      </c>
      <c r="E347" s="3">
        <v>551305895</v>
      </c>
      <c r="F347" s="3" t="str" cm="1">
        <f t="array" ref="F34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47" s="1">
        <v>4449</v>
      </c>
      <c r="H347" s="1">
        <v>244</v>
      </c>
      <c r="I347" s="1">
        <v>27</v>
      </c>
      <c r="J347" s="1">
        <v>19483</v>
      </c>
      <c r="K347" s="1">
        <v>33</v>
      </c>
      <c r="L347" s="1">
        <v>38</v>
      </c>
      <c r="M347" s="1">
        <v>5</v>
      </c>
      <c r="N347" s="1">
        <v>6591</v>
      </c>
      <c r="O347" s="1">
        <v>311</v>
      </c>
      <c r="P347" s="2">
        <f>SUM(STREAMS_STATS[[#This Row],[In Spotify Playlists]],STREAMS_STATS[[#This Row],[In Apple Playlists]],STREAMS_STATS[[#This Row],[In Deezer Playlists]],STREAMS_STATS[[#This Row],[In YouTube Playlists]])</f>
        <v>30561</v>
      </c>
      <c r="Q347" s="1">
        <v>92</v>
      </c>
      <c r="R347" s="1">
        <v>-4</v>
      </c>
      <c r="S347" s="1" t="s">
        <v>75</v>
      </c>
      <c r="T347" s="1">
        <v>80</v>
      </c>
      <c r="U347" s="1">
        <v>56</v>
      </c>
      <c r="V347" s="1">
        <v>74</v>
      </c>
      <c r="W347" s="1">
        <v>65</v>
      </c>
      <c r="X347" s="1">
        <v>214</v>
      </c>
      <c r="Y347" s="5">
        <f>STREAMS_STATS[[#This Row],[Duration]]/60</f>
        <v>3.5666666666666669</v>
      </c>
      <c r="Z347" s="1">
        <v>1</v>
      </c>
      <c r="AA347" s="1">
        <v>22</v>
      </c>
      <c r="AB347" s="1">
        <v>70</v>
      </c>
    </row>
    <row r="348" spans="1:28">
      <c r="A348" t="s">
        <v>575</v>
      </c>
      <c r="B348" s="1" t="s">
        <v>435</v>
      </c>
      <c r="C348" s="1" t="s">
        <v>67</v>
      </c>
      <c r="D348" s="1">
        <v>2019</v>
      </c>
      <c r="E348" s="3">
        <v>530511203</v>
      </c>
      <c r="F348" s="3" t="str" cm="1">
        <f t="array" ref="F34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48" s="1">
        <v>4284</v>
      </c>
      <c r="H348" s="1">
        <v>233</v>
      </c>
      <c r="I348" s="1">
        <v>38</v>
      </c>
      <c r="J348" s="1">
        <v>19665</v>
      </c>
      <c r="K348" s="1">
        <v>38</v>
      </c>
      <c r="L348" s="2">
        <v>1891</v>
      </c>
      <c r="M348" s="1">
        <v>1</v>
      </c>
      <c r="N348" s="1">
        <v>30376</v>
      </c>
      <c r="O348" s="1">
        <v>11</v>
      </c>
      <c r="P348" s="2">
        <f>SUM(STREAMS_STATS[[#This Row],[In Spotify Playlists]],STREAMS_STATS[[#This Row],[In Apple Playlists]],STREAMS_STATS[[#This Row],[In Deezer Playlists]],STREAMS_STATS[[#This Row],[In YouTube Playlists]])</f>
        <v>56216</v>
      </c>
      <c r="Q348" s="1">
        <v>136</v>
      </c>
      <c r="R348" s="1">
        <v>-5</v>
      </c>
      <c r="S348" s="1" t="s">
        <v>68</v>
      </c>
      <c r="T348" s="1">
        <v>76</v>
      </c>
      <c r="U348" s="1">
        <v>53</v>
      </c>
      <c r="V348" s="1">
        <v>9</v>
      </c>
      <c r="W348" s="1">
        <v>65</v>
      </c>
      <c r="X348" s="1">
        <v>260</v>
      </c>
      <c r="Y348" s="5">
        <f>STREAMS_STATS[[#This Row],[Duration]]/60</f>
        <v>4.333333333333333</v>
      </c>
      <c r="Z348" s="1">
        <v>7</v>
      </c>
      <c r="AA348" s="1">
        <v>34</v>
      </c>
      <c r="AB348" s="1">
        <v>70</v>
      </c>
    </row>
    <row r="349" spans="1:28">
      <c r="A349" t="s">
        <v>576</v>
      </c>
      <c r="B349" s="1" t="s">
        <v>577</v>
      </c>
      <c r="C349" s="1" t="s">
        <v>67</v>
      </c>
      <c r="D349" s="1">
        <v>2019</v>
      </c>
      <c r="E349" s="3">
        <v>1555511105</v>
      </c>
      <c r="F349" s="3" t="str" cm="1">
        <f t="array" ref="F349">_xlfn.IFS(STREAMS_STATS[[#This Row],[Streams]] &gt;= 1000000000, "1B+", STREAMS_STATS[[#This Row],[Streams]] &gt;= 500000000, "500M–1B", STREAMS_STATS[[#This Row],[Streams]] &gt;= 250000000, "250M–500M", TRUE, "Under 250M")</f>
        <v>1B+</v>
      </c>
      <c r="G349" s="1">
        <v>17852</v>
      </c>
      <c r="H349" s="1">
        <v>25</v>
      </c>
      <c r="I349" s="1">
        <v>21</v>
      </c>
      <c r="J349" s="1">
        <v>17499</v>
      </c>
      <c r="K349" s="1">
        <v>21</v>
      </c>
      <c r="L349" s="1">
        <v>121</v>
      </c>
      <c r="M349" s="1">
        <v>42</v>
      </c>
      <c r="N349" s="1">
        <v>11127</v>
      </c>
      <c r="O349" s="1">
        <v>200</v>
      </c>
      <c r="P349" s="2">
        <f>SUM(STREAMS_STATS[[#This Row],[In Spotify Playlists]],STREAMS_STATS[[#This Row],[In Apple Playlists]],STREAMS_STATS[[#This Row],[In Deezer Playlists]],STREAMS_STATS[[#This Row],[In YouTube Playlists]])</f>
        <v>46599</v>
      </c>
      <c r="Q349" s="1">
        <v>93</v>
      </c>
      <c r="R349" s="1">
        <v>-7</v>
      </c>
      <c r="S349" s="1" t="s">
        <v>75</v>
      </c>
      <c r="T349" s="1">
        <v>45</v>
      </c>
      <c r="U349" s="1">
        <v>70</v>
      </c>
      <c r="V349" s="1">
        <v>16</v>
      </c>
      <c r="W349" s="1">
        <v>14</v>
      </c>
      <c r="X349" s="1">
        <v>261</v>
      </c>
      <c r="Y349" s="5">
        <f>STREAMS_STATS[[#This Row],[Duration]]/60</f>
        <v>4.3499999999999996</v>
      </c>
      <c r="Z349" s="1">
        <v>12</v>
      </c>
      <c r="AA349" s="1">
        <v>15</v>
      </c>
      <c r="AB349" s="1">
        <v>81</v>
      </c>
    </row>
    <row r="350" spans="1:28">
      <c r="A350" t="s">
        <v>578</v>
      </c>
      <c r="B350" s="1" t="s">
        <v>40</v>
      </c>
      <c r="C350" s="1" t="s">
        <v>67</v>
      </c>
      <c r="D350" s="1">
        <v>2018</v>
      </c>
      <c r="E350" s="3">
        <v>1947371785</v>
      </c>
      <c r="F350" s="3" t="str" cm="1">
        <f t="array" ref="F350">_xlfn.IFS(STREAMS_STATS[[#This Row],[Streams]] &gt;= 1000000000, "1B+", STREAMS_STATS[[#This Row],[Streams]] &gt;= 500000000, "500M–1B", STREAMS_STATS[[#This Row],[Streams]] &gt;= 250000000, "250M–500M", TRUE, "Under 250M")</f>
        <v>1B+</v>
      </c>
      <c r="G350" s="1">
        <v>26694</v>
      </c>
      <c r="H350" s="1">
        <v>11</v>
      </c>
      <c r="I350" s="1">
        <v>80</v>
      </c>
      <c r="J350" s="1">
        <v>38191</v>
      </c>
      <c r="K350" s="1">
        <v>80</v>
      </c>
      <c r="L350" s="1">
        <v>250</v>
      </c>
      <c r="M350" s="1">
        <v>3</v>
      </c>
      <c r="N350" s="1">
        <v>38477</v>
      </c>
      <c r="O350" s="1">
        <v>344</v>
      </c>
      <c r="P350" s="2">
        <f>SUM(STREAMS_STATS[[#This Row],[In Spotify Playlists]],STREAMS_STATS[[#This Row],[In Apple Playlists]],STREAMS_STATS[[#This Row],[In Deezer Playlists]],STREAMS_STATS[[#This Row],[In YouTube Playlists]])</f>
        <v>103612</v>
      </c>
      <c r="Q350" s="1">
        <v>122</v>
      </c>
      <c r="R350" s="1">
        <v>-6</v>
      </c>
      <c r="S350" s="1" t="s">
        <v>68</v>
      </c>
      <c r="T350" s="1">
        <v>71</v>
      </c>
      <c r="U350" s="1">
        <v>70</v>
      </c>
      <c r="V350" s="1">
        <v>29</v>
      </c>
      <c r="W350" s="1">
        <v>35</v>
      </c>
      <c r="X350" s="1">
        <v>206</v>
      </c>
      <c r="Y350" s="5">
        <f>STREAMS_STATS[[#This Row],[Duration]]/60</f>
        <v>3.4333333333333331</v>
      </c>
      <c r="Z350" s="1">
        <v>4</v>
      </c>
      <c r="AA350" s="1">
        <v>6</v>
      </c>
      <c r="AB350" s="1">
        <v>84</v>
      </c>
    </row>
    <row r="351" spans="1:28">
      <c r="A351" t="s">
        <v>579</v>
      </c>
      <c r="B351" s="1" t="s">
        <v>112</v>
      </c>
      <c r="C351" s="1" t="s">
        <v>67</v>
      </c>
      <c r="D351" s="1">
        <v>2017</v>
      </c>
      <c r="E351" s="3">
        <v>284785823</v>
      </c>
      <c r="F351" s="3" t="str" cm="1">
        <f t="array" ref="F35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51" s="1">
        <v>2110</v>
      </c>
      <c r="H351" s="1">
        <v>107</v>
      </c>
      <c r="I351" s="1">
        <v>86</v>
      </c>
      <c r="J351" s="1">
        <v>6758</v>
      </c>
      <c r="K351" s="1">
        <v>86</v>
      </c>
      <c r="L351" s="1">
        <v>138</v>
      </c>
      <c r="M351" s="1">
        <v>11</v>
      </c>
      <c r="N351" s="1">
        <v>8669</v>
      </c>
      <c r="O351" s="1">
        <v>295</v>
      </c>
      <c r="P351" s="2">
        <f>SUM(STREAMS_STATS[[#This Row],[In Spotify Playlists]],STREAMS_STATS[[#This Row],[In Apple Playlists]],STREAMS_STATS[[#This Row],[In Deezer Playlists]],STREAMS_STATS[[#This Row],[In YouTube Playlists]])</f>
        <v>17675</v>
      </c>
      <c r="Q351" s="1">
        <v>100</v>
      </c>
      <c r="R351" s="1">
        <v>-4</v>
      </c>
      <c r="S351" s="1" t="s">
        <v>75</v>
      </c>
      <c r="T351" s="1">
        <v>76</v>
      </c>
      <c r="U351" s="1">
        <v>69</v>
      </c>
      <c r="V351" s="1">
        <v>14</v>
      </c>
      <c r="W351" s="1">
        <v>59</v>
      </c>
      <c r="X351" s="1">
        <v>223</v>
      </c>
      <c r="Y351" s="5">
        <f>STREAMS_STATS[[#This Row],[Duration]]/60</f>
        <v>3.7166666666666668</v>
      </c>
      <c r="Z351" s="1">
        <v>8</v>
      </c>
      <c r="AA351" s="1">
        <v>4</v>
      </c>
      <c r="AB351" s="1">
        <v>57</v>
      </c>
    </row>
    <row r="352" spans="1:28">
      <c r="A352" t="s">
        <v>580</v>
      </c>
      <c r="B352" s="1" t="s">
        <v>219</v>
      </c>
      <c r="C352" s="1" t="s">
        <v>67</v>
      </c>
      <c r="D352" s="1">
        <v>2014</v>
      </c>
      <c r="E352" s="3">
        <v>1562</v>
      </c>
      <c r="F352" s="3" t="str" cm="1">
        <f t="array" ref="F35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52" s="1">
        <v>1351</v>
      </c>
      <c r="H352" s="1">
        <v>176</v>
      </c>
      <c r="I352" s="1">
        <v>1</v>
      </c>
      <c r="J352" s="1">
        <v>34396</v>
      </c>
      <c r="K352" s="1">
        <v>1</v>
      </c>
      <c r="L352" s="1">
        <v>13</v>
      </c>
      <c r="M352" s="1">
        <v>50</v>
      </c>
      <c r="N352" s="1">
        <v>10825</v>
      </c>
      <c r="O352" s="1">
        <v>239</v>
      </c>
      <c r="P352" s="2">
        <f>SUM(STREAMS_STATS[[#This Row],[In Spotify Playlists]],STREAMS_STATS[[#This Row],[In Apple Playlists]],STREAMS_STATS[[#This Row],[In Deezer Playlists]],STREAMS_STATS[[#This Row],[In YouTube Playlists]])</f>
        <v>46585</v>
      </c>
      <c r="Q352" s="1">
        <v>86</v>
      </c>
      <c r="R352" s="1">
        <v>-6</v>
      </c>
      <c r="S352" s="1" t="s">
        <v>68</v>
      </c>
      <c r="T352" s="1">
        <v>73</v>
      </c>
      <c r="U352" s="1">
        <v>59</v>
      </c>
      <c r="V352" s="1">
        <v>38</v>
      </c>
      <c r="W352" s="1">
        <v>46</v>
      </c>
      <c r="X352" s="1">
        <v>266</v>
      </c>
      <c r="Y352" s="5">
        <f>STREAMS_STATS[[#This Row],[Duration]]/60</f>
        <v>4.4333333333333336</v>
      </c>
      <c r="Z352" s="1">
        <v>27</v>
      </c>
      <c r="AA352" s="1">
        <v>6</v>
      </c>
      <c r="AB352" s="1">
        <v>0</v>
      </c>
    </row>
    <row r="353" spans="1:28">
      <c r="A353" t="s">
        <v>581</v>
      </c>
      <c r="B353" s="1" t="s">
        <v>459</v>
      </c>
      <c r="C353" s="1" t="s">
        <v>110</v>
      </c>
      <c r="D353" s="1">
        <v>2014</v>
      </c>
      <c r="E353" s="3">
        <v>276259178</v>
      </c>
      <c r="F353" s="3" t="str" cm="1">
        <f t="array" ref="F35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53" s="1">
        <v>2026</v>
      </c>
      <c r="H353" s="1">
        <v>354</v>
      </c>
      <c r="I353" s="1">
        <v>2</v>
      </c>
      <c r="J353" s="1">
        <v>23654</v>
      </c>
      <c r="K353" s="1">
        <v>2</v>
      </c>
      <c r="L353" s="1">
        <v>2</v>
      </c>
      <c r="M353" s="1">
        <v>42</v>
      </c>
      <c r="N353" s="1">
        <v>21755</v>
      </c>
      <c r="O353" s="1">
        <v>73</v>
      </c>
      <c r="P353" s="2">
        <f>SUM(STREAMS_STATS[[#This Row],[In Spotify Playlists]],STREAMS_STATS[[#This Row],[In Apple Playlists]],STREAMS_STATS[[#This Row],[In Deezer Playlists]],STREAMS_STATS[[#This Row],[In YouTube Playlists]])</f>
        <v>47437</v>
      </c>
      <c r="Q353" s="1">
        <v>116</v>
      </c>
      <c r="R353" s="1">
        <v>-10</v>
      </c>
      <c r="S353" s="1" t="s">
        <v>68</v>
      </c>
      <c r="T353" s="1">
        <v>14</v>
      </c>
      <c r="U353" s="1">
        <v>41</v>
      </c>
      <c r="V353" s="1">
        <v>9</v>
      </c>
      <c r="W353" s="1">
        <v>23</v>
      </c>
      <c r="X353" s="1">
        <v>190</v>
      </c>
      <c r="Y353" s="5">
        <f>STREAMS_STATS[[#This Row],[Duration]]/60</f>
        <v>3.1666666666666665</v>
      </c>
      <c r="Z353" s="1">
        <v>97</v>
      </c>
      <c r="AA353" s="1">
        <v>4</v>
      </c>
      <c r="AB353" s="1">
        <v>56</v>
      </c>
    </row>
    <row r="354" spans="1:28">
      <c r="A354" t="s">
        <v>582</v>
      </c>
      <c r="B354" s="1" t="s">
        <v>190</v>
      </c>
      <c r="C354" s="1" t="s">
        <v>67</v>
      </c>
      <c r="D354" s="1">
        <v>2010</v>
      </c>
      <c r="E354" s="3">
        <v>273005485</v>
      </c>
      <c r="F354" s="3" t="str" cm="1">
        <f t="array" ref="F35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54" s="1">
        <v>2012</v>
      </c>
      <c r="H354" s="1">
        <v>148</v>
      </c>
      <c r="I354" s="1">
        <v>3</v>
      </c>
      <c r="J354" s="1">
        <v>18053</v>
      </c>
      <c r="K354" s="1">
        <v>50</v>
      </c>
      <c r="L354" s="1">
        <v>9006</v>
      </c>
      <c r="M354" s="1">
        <v>183</v>
      </c>
      <c r="N354" s="1">
        <v>3530</v>
      </c>
      <c r="O354" s="1">
        <v>7</v>
      </c>
      <c r="P354" s="2">
        <f>SUM(STREAMS_STATS[[#This Row],[In Spotify Playlists]],STREAMS_STATS[[#This Row],[In Apple Playlists]],STREAMS_STATS[[#This Row],[In Deezer Playlists]],STREAMS_STATS[[#This Row],[In YouTube Playlists]])</f>
        <v>32601</v>
      </c>
      <c r="Q354" s="1">
        <v>120</v>
      </c>
      <c r="R354" s="1">
        <v>-5</v>
      </c>
      <c r="S354" s="1" t="s">
        <v>75</v>
      </c>
      <c r="T354" s="1">
        <v>81</v>
      </c>
      <c r="U354" s="1">
        <v>76</v>
      </c>
      <c r="V354" s="1">
        <v>56</v>
      </c>
      <c r="W354" s="1">
        <v>54</v>
      </c>
      <c r="X354" s="1">
        <v>186</v>
      </c>
      <c r="Y354" s="5">
        <f>STREAMS_STATS[[#This Row],[Duration]]/60</f>
        <v>3.1</v>
      </c>
      <c r="Z354" s="1">
        <v>0</v>
      </c>
      <c r="AA354" s="1">
        <v>4</v>
      </c>
      <c r="AB354" s="1">
        <v>55</v>
      </c>
    </row>
    <row r="355" spans="1:28">
      <c r="A355" t="s">
        <v>583</v>
      </c>
      <c r="B355" s="1" t="s">
        <v>334</v>
      </c>
      <c r="C355" s="1" t="s">
        <v>67</v>
      </c>
      <c r="D355" s="1">
        <v>2019</v>
      </c>
      <c r="E355" s="3">
        <v>482257456</v>
      </c>
      <c r="F355" s="3" t="str" cm="1">
        <f t="array" ref="F35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55" s="1">
        <v>3879</v>
      </c>
      <c r="H355" s="1">
        <v>269</v>
      </c>
      <c r="I355" s="1">
        <v>27</v>
      </c>
      <c r="J355" s="1">
        <v>22137</v>
      </c>
      <c r="K355" s="1">
        <v>27</v>
      </c>
      <c r="L355" s="1">
        <v>636</v>
      </c>
      <c r="M355" s="1">
        <v>50</v>
      </c>
      <c r="N355" s="1">
        <v>15872</v>
      </c>
      <c r="O355" s="1">
        <v>287</v>
      </c>
      <c r="P355" s="2">
        <f>SUM(STREAMS_STATS[[#This Row],[In Spotify Playlists]],STREAMS_STATS[[#This Row],[In Apple Playlists]],STREAMS_STATS[[#This Row],[In Deezer Playlists]],STREAMS_STATS[[#This Row],[In YouTube Playlists]])</f>
        <v>42524</v>
      </c>
      <c r="Q355" s="1">
        <v>114</v>
      </c>
      <c r="R355" s="1">
        <v>-6</v>
      </c>
      <c r="S355" s="1" t="s">
        <v>68</v>
      </c>
      <c r="T355" s="1">
        <v>79</v>
      </c>
      <c r="U355" s="1">
        <v>60</v>
      </c>
      <c r="V355" s="1">
        <v>42</v>
      </c>
      <c r="W355" s="1">
        <v>24</v>
      </c>
      <c r="X355" s="1">
        <v>217</v>
      </c>
      <c r="Y355" s="5">
        <f>STREAMS_STATS[[#This Row],[Duration]]/60</f>
        <v>3.6166666666666667</v>
      </c>
      <c r="Z355" s="1">
        <v>1</v>
      </c>
      <c r="AA355" s="1">
        <v>7</v>
      </c>
      <c r="AB355" s="1">
        <v>69</v>
      </c>
    </row>
    <row r="356" spans="1:28">
      <c r="A356" t="s">
        <v>584</v>
      </c>
      <c r="B356" s="1" t="s">
        <v>585</v>
      </c>
      <c r="C356" s="1" t="s">
        <v>67</v>
      </c>
      <c r="D356" s="1">
        <v>2017</v>
      </c>
      <c r="E356" s="3">
        <v>485285717</v>
      </c>
      <c r="F356" s="3" t="str" cm="1">
        <f t="array" ref="F35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56" s="1">
        <v>3909</v>
      </c>
      <c r="H356" s="1">
        <v>138</v>
      </c>
      <c r="I356" s="1">
        <v>95</v>
      </c>
      <c r="J356" s="1">
        <v>10620</v>
      </c>
      <c r="K356" s="1">
        <v>95</v>
      </c>
      <c r="L356" s="1">
        <v>31</v>
      </c>
      <c r="M356" s="1">
        <v>19</v>
      </c>
      <c r="N356" s="1">
        <v>15002</v>
      </c>
      <c r="O356" s="1">
        <v>126</v>
      </c>
      <c r="P356" s="2">
        <f>SUM(STREAMS_STATS[[#This Row],[In Spotify Playlists]],STREAMS_STATS[[#This Row],[In Apple Playlists]],STREAMS_STATS[[#This Row],[In Deezer Playlists]],STREAMS_STATS[[#This Row],[In YouTube Playlists]])</f>
        <v>29562</v>
      </c>
      <c r="Q356" s="1">
        <v>122</v>
      </c>
      <c r="R356" s="1">
        <v>-6</v>
      </c>
      <c r="S356" s="1" t="s">
        <v>75</v>
      </c>
      <c r="T356" s="1">
        <v>81</v>
      </c>
      <c r="U356" s="1">
        <v>65</v>
      </c>
      <c r="V356" s="1">
        <v>13</v>
      </c>
      <c r="W356" s="1">
        <v>58</v>
      </c>
      <c r="X356" s="1">
        <v>189</v>
      </c>
      <c r="Y356" s="5">
        <f>STREAMS_STATS[[#This Row],[Duration]]/60</f>
        <v>3.15</v>
      </c>
      <c r="Z356" s="1">
        <v>12</v>
      </c>
      <c r="AA356" s="1">
        <v>6</v>
      </c>
      <c r="AB356" s="1">
        <v>69</v>
      </c>
    </row>
    <row r="357" spans="1:28">
      <c r="A357" t="s">
        <v>586</v>
      </c>
      <c r="B357" s="1" t="s">
        <v>280</v>
      </c>
      <c r="C357" s="1" t="s">
        <v>224</v>
      </c>
      <c r="D357" s="1">
        <v>2010</v>
      </c>
      <c r="E357" s="3">
        <v>690104769</v>
      </c>
      <c r="F357" s="3" t="str" cm="1">
        <f t="array" ref="F35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57" s="1">
        <v>6036</v>
      </c>
      <c r="H357" s="1">
        <v>268</v>
      </c>
      <c r="I357" s="1">
        <v>284</v>
      </c>
      <c r="J357" s="1">
        <v>30358</v>
      </c>
      <c r="K357" s="1">
        <v>59</v>
      </c>
      <c r="L357" s="1">
        <v>789</v>
      </c>
      <c r="M357" s="1">
        <v>139</v>
      </c>
      <c r="N357" s="1">
        <v>29428</v>
      </c>
      <c r="O357" s="1">
        <v>65</v>
      </c>
      <c r="P357" s="2">
        <f>SUM(STREAMS_STATS[[#This Row],[In Spotify Playlists]],STREAMS_STATS[[#This Row],[In Apple Playlists]],STREAMS_STATS[[#This Row],[In Deezer Playlists]],STREAMS_STATS[[#This Row],[In YouTube Playlists]])</f>
        <v>66611</v>
      </c>
      <c r="Q357" s="1">
        <v>130</v>
      </c>
      <c r="R357" s="1">
        <v>-6</v>
      </c>
      <c r="S357" s="1" t="s">
        <v>75</v>
      </c>
      <c r="T357" s="1">
        <v>75</v>
      </c>
      <c r="U357" s="1">
        <v>78</v>
      </c>
      <c r="V357" s="1">
        <v>36</v>
      </c>
      <c r="W357" s="1">
        <v>33</v>
      </c>
      <c r="X357" s="1">
        <v>269</v>
      </c>
      <c r="Y357" s="5">
        <f>STREAMS_STATS[[#This Row],[Duration]]/60</f>
        <v>4.4833333333333334</v>
      </c>
      <c r="Z357" s="1">
        <v>20</v>
      </c>
      <c r="AA357" s="1">
        <v>3</v>
      </c>
      <c r="AB357" s="1">
        <v>72</v>
      </c>
    </row>
    <row r="358" spans="1:28">
      <c r="A358" t="s">
        <v>587</v>
      </c>
      <c r="B358" s="1" t="s">
        <v>126</v>
      </c>
      <c r="C358" s="1" t="s">
        <v>67</v>
      </c>
      <c r="D358" s="1">
        <v>2015</v>
      </c>
      <c r="E358" s="3">
        <v>374706940</v>
      </c>
      <c r="F358" s="3" t="str" cm="1">
        <f t="array" ref="F35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58" s="1">
        <v>2953</v>
      </c>
      <c r="H358" s="1">
        <v>165</v>
      </c>
      <c r="I358" s="1">
        <v>1</v>
      </c>
      <c r="J358" s="1">
        <v>5276</v>
      </c>
      <c r="K358" s="1">
        <v>1</v>
      </c>
      <c r="L358" s="1">
        <v>34</v>
      </c>
      <c r="M358" s="1">
        <v>15</v>
      </c>
      <c r="N358" s="1">
        <v>8661</v>
      </c>
      <c r="O358" s="1">
        <v>49</v>
      </c>
      <c r="P358" s="2">
        <f>SUM(STREAMS_STATS[[#This Row],[In Spotify Playlists]],STREAMS_STATS[[#This Row],[In Apple Playlists]],STREAMS_STATS[[#This Row],[In Deezer Playlists]],STREAMS_STATS[[#This Row],[In YouTube Playlists]])</f>
        <v>16924</v>
      </c>
      <c r="Q358" s="1">
        <v>155</v>
      </c>
      <c r="R358" s="1">
        <v>-7</v>
      </c>
      <c r="S358" s="1" t="s">
        <v>68</v>
      </c>
      <c r="T358" s="1">
        <v>71</v>
      </c>
      <c r="U358" s="1">
        <v>70</v>
      </c>
      <c r="V358" s="1">
        <v>9</v>
      </c>
      <c r="W358" s="1">
        <v>74</v>
      </c>
      <c r="X358" s="1">
        <v>213</v>
      </c>
      <c r="Y358" s="5">
        <f>STREAMS_STATS[[#This Row],[Duration]]/60</f>
        <v>3.55</v>
      </c>
      <c r="Z358" s="1">
        <v>26</v>
      </c>
      <c r="AA358" s="1">
        <v>5</v>
      </c>
      <c r="AB358" s="1">
        <v>65</v>
      </c>
    </row>
    <row r="359" spans="1:28">
      <c r="A359" t="s">
        <v>588</v>
      </c>
      <c r="B359" s="1" t="s">
        <v>95</v>
      </c>
      <c r="C359" s="1" t="s">
        <v>67</v>
      </c>
      <c r="D359" s="1">
        <v>2011</v>
      </c>
      <c r="E359" s="3">
        <v>520034544</v>
      </c>
      <c r="F359" s="3" t="str" cm="1">
        <f t="array" ref="F35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59" s="1">
        <v>4214</v>
      </c>
      <c r="H359" s="1">
        <v>219</v>
      </c>
      <c r="I359" s="1">
        <v>435</v>
      </c>
      <c r="J359" s="1">
        <v>30335</v>
      </c>
      <c r="K359" s="1">
        <v>55</v>
      </c>
      <c r="L359" s="1">
        <v>4364</v>
      </c>
      <c r="M359" s="1">
        <v>171</v>
      </c>
      <c r="N359" s="1">
        <v>18323</v>
      </c>
      <c r="O359" s="1">
        <v>53</v>
      </c>
      <c r="P359" s="2">
        <f>SUM(STREAMS_STATS[[#This Row],[In Spotify Playlists]],STREAMS_STATS[[#This Row],[In Apple Playlists]],STREAMS_STATS[[#This Row],[In Deezer Playlists]],STREAMS_STATS[[#This Row],[In YouTube Playlists]])</f>
        <v>57236</v>
      </c>
      <c r="Q359" s="1">
        <v>130</v>
      </c>
      <c r="R359" s="1">
        <v>-5</v>
      </c>
      <c r="S359" s="1" t="s">
        <v>68</v>
      </c>
      <c r="T359" s="1">
        <v>78</v>
      </c>
      <c r="U359" s="1">
        <v>73</v>
      </c>
      <c r="V359" s="1">
        <v>7</v>
      </c>
      <c r="W359" s="1">
        <v>57</v>
      </c>
      <c r="X359" s="1">
        <v>285</v>
      </c>
      <c r="Y359" s="5">
        <f>STREAMS_STATS[[#This Row],[Duration]]/60</f>
        <v>4.75</v>
      </c>
      <c r="Z359" s="1">
        <v>11</v>
      </c>
      <c r="AA359" s="1">
        <v>5</v>
      </c>
      <c r="AB359" s="1">
        <v>69</v>
      </c>
    </row>
    <row r="360" spans="1:28">
      <c r="A360" t="s">
        <v>589</v>
      </c>
      <c r="B360" s="1" t="s">
        <v>132</v>
      </c>
      <c r="C360" s="1" t="s">
        <v>67</v>
      </c>
      <c r="D360" s="1">
        <v>2016</v>
      </c>
      <c r="E360" s="3">
        <v>222410722</v>
      </c>
      <c r="F360" s="3" t="str" cm="1">
        <f t="array" ref="F36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60" s="1">
        <v>1545</v>
      </c>
      <c r="H360" s="1">
        <v>282</v>
      </c>
      <c r="I360" s="1">
        <v>15</v>
      </c>
      <c r="J360" s="1">
        <v>11754</v>
      </c>
      <c r="K360" s="1">
        <v>97</v>
      </c>
      <c r="L360" s="1">
        <v>2</v>
      </c>
      <c r="M360" s="1">
        <v>15</v>
      </c>
      <c r="N360" s="1">
        <v>7715</v>
      </c>
      <c r="O360" s="1">
        <v>84</v>
      </c>
      <c r="P360" s="2">
        <f>SUM(STREAMS_STATS[[#This Row],[In Spotify Playlists]],STREAMS_STATS[[#This Row],[In Apple Playlists]],STREAMS_STATS[[#This Row],[In Deezer Playlists]],STREAMS_STATS[[#This Row],[In YouTube Playlists]])</f>
        <v>21016</v>
      </c>
      <c r="Q360" s="1">
        <v>91</v>
      </c>
      <c r="R360" s="1">
        <v>-5</v>
      </c>
      <c r="S360" s="1" t="s">
        <v>68</v>
      </c>
      <c r="T360" s="1">
        <v>69</v>
      </c>
      <c r="U360" s="1">
        <v>75</v>
      </c>
      <c r="V360" s="1">
        <v>13</v>
      </c>
      <c r="W360" s="1">
        <v>52</v>
      </c>
      <c r="X360" s="1">
        <v>192</v>
      </c>
      <c r="Y360" s="5">
        <f>STREAMS_STATS[[#This Row],[Duration]]/60</f>
        <v>3.2</v>
      </c>
      <c r="Z360" s="1">
        <v>26</v>
      </c>
      <c r="AA360" s="1">
        <v>4</v>
      </c>
      <c r="AB360" s="1">
        <v>41</v>
      </c>
    </row>
    <row r="361" spans="1:28">
      <c r="A361" t="s">
        <v>590</v>
      </c>
      <c r="B361" s="1" t="s">
        <v>34</v>
      </c>
      <c r="C361" s="1" t="s">
        <v>67</v>
      </c>
      <c r="D361" s="1">
        <v>2018</v>
      </c>
      <c r="E361" s="3">
        <v>2322580122</v>
      </c>
      <c r="F361" s="3" t="str" cm="1">
        <f t="array" ref="F361">_xlfn.IFS(STREAMS_STATS[[#This Row],[Streams]] &gt;= 1000000000, "1B+", STREAMS_STATS[[#This Row],[Streams]] &gt;= 500000000, "500M–1B", STREAMS_STATS[[#This Row],[Streams]] &gt;= 250000000, "250M–500M", TRUE, "Under 250M")</f>
        <v>1B+</v>
      </c>
      <c r="G361" s="1">
        <v>33783</v>
      </c>
      <c r="H361" s="1">
        <v>2</v>
      </c>
      <c r="I361" s="1">
        <v>63</v>
      </c>
      <c r="J361" s="1">
        <v>6664</v>
      </c>
      <c r="K361" s="1">
        <v>63</v>
      </c>
      <c r="L361" s="1">
        <v>465</v>
      </c>
      <c r="M361" s="1">
        <v>44</v>
      </c>
      <c r="N361" s="1">
        <v>17446</v>
      </c>
      <c r="O361" s="1">
        <v>29</v>
      </c>
      <c r="P361" s="2">
        <f>SUM(STREAMS_STATS[[#This Row],[In Spotify Playlists]],STREAMS_STATS[[#This Row],[In Apple Playlists]],STREAMS_STATS[[#This Row],[In Deezer Playlists]],STREAMS_STATS[[#This Row],[In YouTube Playlists]])</f>
        <v>58358</v>
      </c>
      <c r="Q361" s="1">
        <v>124</v>
      </c>
      <c r="R361" s="1">
        <v>-3</v>
      </c>
      <c r="S361" s="1" t="s">
        <v>75</v>
      </c>
      <c r="T361" s="1">
        <v>86</v>
      </c>
      <c r="U361" s="1">
        <v>79</v>
      </c>
      <c r="V361" s="1">
        <v>8</v>
      </c>
      <c r="W361" s="1">
        <v>59</v>
      </c>
      <c r="X361" s="1">
        <v>215</v>
      </c>
      <c r="Y361" s="5">
        <f>STREAMS_STATS[[#This Row],[Duration]]/60</f>
        <v>3.5833333333333335</v>
      </c>
      <c r="Z361" s="1">
        <v>4</v>
      </c>
      <c r="AA361" s="1">
        <v>11</v>
      </c>
      <c r="AB361" s="1">
        <v>86</v>
      </c>
    </row>
    <row r="362" spans="1:28">
      <c r="A362" t="s">
        <v>591</v>
      </c>
      <c r="B362" s="1" t="s">
        <v>32</v>
      </c>
      <c r="C362" s="1" t="s">
        <v>25</v>
      </c>
      <c r="D362" s="1">
        <v>2012</v>
      </c>
      <c r="E362" s="3">
        <v>726837877</v>
      </c>
      <c r="F362" s="3" t="str" cm="1">
        <f t="array" ref="F36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62" s="1">
        <v>6512</v>
      </c>
      <c r="H362" s="1">
        <v>104</v>
      </c>
      <c r="I362" s="1">
        <v>112</v>
      </c>
      <c r="J362" s="1">
        <v>33301</v>
      </c>
      <c r="K362" s="1">
        <v>65</v>
      </c>
      <c r="L362" s="1">
        <v>3691</v>
      </c>
      <c r="M362" s="1">
        <v>134</v>
      </c>
      <c r="N362" s="1">
        <v>32094</v>
      </c>
      <c r="O362" s="1">
        <v>36</v>
      </c>
      <c r="P362" s="2">
        <f>SUM(STREAMS_STATS[[#This Row],[In Spotify Playlists]],STREAMS_STATS[[#This Row],[In Apple Playlists]],STREAMS_STATS[[#This Row],[In Deezer Playlists]],STREAMS_STATS[[#This Row],[In YouTube Playlists]])</f>
        <v>75598</v>
      </c>
      <c r="Q362" s="1">
        <v>93</v>
      </c>
      <c r="R362" s="1">
        <v>-3</v>
      </c>
      <c r="S362" s="1" t="s">
        <v>75</v>
      </c>
      <c r="T362" s="1">
        <v>82</v>
      </c>
      <c r="U362" s="1">
        <v>72</v>
      </c>
      <c r="V362" s="1">
        <v>8</v>
      </c>
      <c r="W362" s="1">
        <v>62</v>
      </c>
      <c r="X362" s="1">
        <v>220</v>
      </c>
      <c r="Y362" s="5">
        <f>STREAMS_STATS[[#This Row],[Duration]]/60</f>
        <v>3.6666666666666665</v>
      </c>
      <c r="Z362" s="1">
        <v>6</v>
      </c>
      <c r="AA362" s="1">
        <v>3</v>
      </c>
      <c r="AB362" s="1">
        <v>85</v>
      </c>
    </row>
    <row r="363" spans="1:28">
      <c r="A363" t="s">
        <v>592</v>
      </c>
      <c r="B363" s="1" t="s">
        <v>39</v>
      </c>
      <c r="C363" s="1" t="s">
        <v>115</v>
      </c>
      <c r="D363" s="1">
        <v>2010</v>
      </c>
      <c r="E363" s="3">
        <v>783706581</v>
      </c>
      <c r="F363" s="3" t="str" cm="1">
        <f t="array" ref="F36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63" s="1">
        <v>6809</v>
      </c>
      <c r="H363" s="1">
        <v>134</v>
      </c>
      <c r="I363" s="1">
        <v>330</v>
      </c>
      <c r="J363" s="1">
        <v>1402</v>
      </c>
      <c r="K363" s="1">
        <v>74</v>
      </c>
      <c r="L363" s="1">
        <v>3133</v>
      </c>
      <c r="M363" s="1">
        <v>71</v>
      </c>
      <c r="N363" s="1">
        <v>14152</v>
      </c>
      <c r="O363" s="1">
        <v>293</v>
      </c>
      <c r="P363" s="2">
        <f>SUM(STREAMS_STATS[[#This Row],[In Spotify Playlists]],STREAMS_STATS[[#This Row],[In Apple Playlists]],STREAMS_STATS[[#This Row],[In Deezer Playlists]],STREAMS_STATS[[#This Row],[In YouTube Playlists]])</f>
        <v>25496</v>
      </c>
      <c r="Q363" s="1">
        <v>126</v>
      </c>
      <c r="R363" s="1">
        <v>-4</v>
      </c>
      <c r="S363" s="1" t="s">
        <v>75</v>
      </c>
      <c r="T363" s="1">
        <v>72</v>
      </c>
      <c r="U363" s="1">
        <v>79</v>
      </c>
      <c r="V363" s="1">
        <v>7</v>
      </c>
      <c r="W363" s="1">
        <v>61</v>
      </c>
      <c r="X363" s="1">
        <v>235</v>
      </c>
      <c r="Y363" s="5">
        <f>STREAMS_STATS[[#This Row],[Duration]]/60</f>
        <v>3.9166666666666665</v>
      </c>
      <c r="Z363" s="1">
        <v>13</v>
      </c>
      <c r="AA363" s="1">
        <v>4</v>
      </c>
      <c r="AB363" s="1">
        <v>73</v>
      </c>
    </row>
    <row r="364" spans="1:28">
      <c r="A364" t="s">
        <v>593</v>
      </c>
      <c r="B364" s="1" t="s">
        <v>594</v>
      </c>
      <c r="C364" s="1" t="s">
        <v>159</v>
      </c>
      <c r="D364" s="1">
        <v>2019</v>
      </c>
      <c r="E364" s="3">
        <v>2484812918</v>
      </c>
      <c r="F364" s="3" t="str" cm="1">
        <f t="array" ref="F364">_xlfn.IFS(STREAMS_STATS[[#This Row],[Streams]] &gt;= 1000000000, "1B+", STREAMS_STATS[[#This Row],[Streams]] &gt;= 500000000, "500M–1B", STREAMS_STATS[[#This Row],[Streams]] &gt;= 250000000, "250M–500M", TRUE, "Under 250M")</f>
        <v>1B+</v>
      </c>
      <c r="G364" s="1">
        <v>35684</v>
      </c>
      <c r="H364" s="1">
        <v>2</v>
      </c>
      <c r="I364" s="1">
        <v>62</v>
      </c>
      <c r="J364" s="1">
        <v>1952</v>
      </c>
      <c r="K364" s="1">
        <v>4</v>
      </c>
      <c r="L364" s="1">
        <v>262</v>
      </c>
      <c r="M364" s="1">
        <v>14</v>
      </c>
      <c r="N364" s="1">
        <v>25363</v>
      </c>
      <c r="O364" s="1">
        <v>39</v>
      </c>
      <c r="P364" s="2">
        <f>SUM(STREAMS_STATS[[#This Row],[In Spotify Playlists]],STREAMS_STATS[[#This Row],[In Apple Playlists]],STREAMS_STATS[[#This Row],[In Deezer Playlists]],STREAMS_STATS[[#This Row],[In YouTube Playlists]])</f>
        <v>63261</v>
      </c>
      <c r="Q364" s="1">
        <v>94</v>
      </c>
      <c r="R364" s="1">
        <v>-6</v>
      </c>
      <c r="S364" s="1" t="s">
        <v>68</v>
      </c>
      <c r="T364" s="1">
        <v>50</v>
      </c>
      <c r="U364" s="1">
        <v>80</v>
      </c>
      <c r="V364" s="1">
        <v>6</v>
      </c>
      <c r="W364" s="1">
        <v>87</v>
      </c>
      <c r="X364" s="1">
        <v>183</v>
      </c>
      <c r="Y364" s="5">
        <f>STREAMS_STATS[[#This Row],[Duration]]/60</f>
        <v>3.05</v>
      </c>
      <c r="Z364" s="1">
        <v>11</v>
      </c>
      <c r="AA364" s="1">
        <v>7</v>
      </c>
      <c r="AB364" s="1">
        <v>87</v>
      </c>
    </row>
    <row r="365" spans="1:28">
      <c r="A365" t="s">
        <v>595</v>
      </c>
      <c r="B365" s="1" t="s">
        <v>596</v>
      </c>
      <c r="C365" s="1" t="s">
        <v>107</v>
      </c>
      <c r="D365" s="1">
        <v>2015</v>
      </c>
      <c r="E365" s="3">
        <v>505671438</v>
      </c>
      <c r="F365" s="3" t="str" cm="1">
        <f t="array" ref="F36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65" s="1">
        <v>4094</v>
      </c>
      <c r="H365" s="1">
        <v>411</v>
      </c>
      <c r="I365" s="1">
        <v>38</v>
      </c>
      <c r="J365" s="1">
        <v>18485</v>
      </c>
      <c r="K365" s="1">
        <v>38</v>
      </c>
      <c r="L365" s="1">
        <v>13</v>
      </c>
      <c r="M365" s="1">
        <v>14</v>
      </c>
      <c r="N365" s="1">
        <v>24868</v>
      </c>
      <c r="O365" s="1">
        <v>332</v>
      </c>
      <c r="P365" s="2">
        <f>SUM(STREAMS_STATS[[#This Row],[In Spotify Playlists]],STREAMS_STATS[[#This Row],[In Apple Playlists]],STREAMS_STATS[[#This Row],[In Deezer Playlists]],STREAMS_STATS[[#This Row],[In YouTube Playlists]])</f>
        <v>47460</v>
      </c>
      <c r="Q365" s="1">
        <v>91</v>
      </c>
      <c r="R365" s="1">
        <v>-5</v>
      </c>
      <c r="S365" s="1" t="s">
        <v>75</v>
      </c>
      <c r="T365" s="1">
        <v>89</v>
      </c>
      <c r="U365" s="1">
        <v>57</v>
      </c>
      <c r="V365" s="1">
        <v>33</v>
      </c>
      <c r="W365" s="1">
        <v>31</v>
      </c>
      <c r="X365" s="1">
        <v>233</v>
      </c>
      <c r="Y365" s="5">
        <f>STREAMS_STATS[[#This Row],[Duration]]/60</f>
        <v>3.8833333333333333</v>
      </c>
      <c r="Z365" s="1">
        <v>10</v>
      </c>
      <c r="AA365" s="1">
        <v>8</v>
      </c>
      <c r="AB365" s="1">
        <v>69</v>
      </c>
    </row>
    <row r="366" spans="1:28">
      <c r="A366" t="s">
        <v>597</v>
      </c>
      <c r="B366" s="1" t="s">
        <v>66</v>
      </c>
      <c r="C366" s="1" t="s">
        <v>67</v>
      </c>
      <c r="D366" s="1">
        <v>2013</v>
      </c>
      <c r="E366" s="3">
        <v>232896922</v>
      </c>
      <c r="F366" s="3" t="str" cm="1">
        <f t="array" ref="F366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66" s="1">
        <v>1634</v>
      </c>
      <c r="H366" s="1">
        <v>408</v>
      </c>
      <c r="I366" s="1">
        <v>122</v>
      </c>
      <c r="J366" s="1">
        <v>33445</v>
      </c>
      <c r="K366" s="1">
        <v>122</v>
      </c>
      <c r="L366" s="2">
        <v>3394</v>
      </c>
      <c r="M366" s="1">
        <v>19</v>
      </c>
      <c r="N366" s="1">
        <v>19493</v>
      </c>
      <c r="O366" s="1">
        <v>240</v>
      </c>
      <c r="P366" s="2">
        <f>SUM(STREAMS_STATS[[#This Row],[In Spotify Playlists]],STREAMS_STATS[[#This Row],[In Apple Playlists]],STREAMS_STATS[[#This Row],[In Deezer Playlists]],STREAMS_STATS[[#This Row],[In YouTube Playlists]])</f>
        <v>57966</v>
      </c>
      <c r="Q366" s="1">
        <v>128</v>
      </c>
      <c r="R366" s="1">
        <v>-5</v>
      </c>
      <c r="S366" s="1" t="s">
        <v>75</v>
      </c>
      <c r="T366" s="1">
        <v>57</v>
      </c>
      <c r="U366" s="1">
        <v>69</v>
      </c>
      <c r="V366" s="1">
        <v>11</v>
      </c>
      <c r="W366" s="1">
        <v>73</v>
      </c>
      <c r="X366" s="1">
        <v>257</v>
      </c>
      <c r="Y366" s="5">
        <f>STREAMS_STATS[[#This Row],[Duration]]/60</f>
        <v>4.2833333333333332</v>
      </c>
      <c r="Z366" s="1">
        <v>2</v>
      </c>
      <c r="AA366" s="1">
        <v>5</v>
      </c>
      <c r="AB366" s="1">
        <v>45</v>
      </c>
    </row>
    <row r="367" spans="1:28">
      <c r="A367" t="s">
        <v>598</v>
      </c>
      <c r="B367" s="1" t="s">
        <v>77</v>
      </c>
      <c r="C367" s="1" t="s">
        <v>25</v>
      </c>
      <c r="D367" s="1">
        <v>2016</v>
      </c>
      <c r="E367" s="3">
        <v>404562836</v>
      </c>
      <c r="F367" s="3" t="str" cm="1">
        <f t="array" ref="F36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67" s="1">
        <v>3185</v>
      </c>
      <c r="H367" s="1">
        <v>206</v>
      </c>
      <c r="I367" s="1">
        <v>37</v>
      </c>
      <c r="J367" s="1">
        <v>28182</v>
      </c>
      <c r="K367" s="1">
        <v>37</v>
      </c>
      <c r="L367" s="2">
        <v>1509</v>
      </c>
      <c r="M367" s="1">
        <v>22</v>
      </c>
      <c r="N367" s="1">
        <v>30749</v>
      </c>
      <c r="O367" s="1">
        <v>28</v>
      </c>
      <c r="P367" s="2">
        <f>SUM(STREAMS_STATS[[#This Row],[In Spotify Playlists]],STREAMS_STATS[[#This Row],[In Apple Playlists]],STREAMS_STATS[[#This Row],[In Deezer Playlists]],STREAMS_STATS[[#This Row],[In YouTube Playlists]])</f>
        <v>63625</v>
      </c>
      <c r="Q367" s="1">
        <v>92</v>
      </c>
      <c r="R367" s="1">
        <v>-7</v>
      </c>
      <c r="S367" s="1" t="s">
        <v>75</v>
      </c>
      <c r="T367" s="1">
        <v>84</v>
      </c>
      <c r="U367" s="1">
        <v>55</v>
      </c>
      <c r="V367" s="1">
        <v>34</v>
      </c>
      <c r="W367" s="1">
        <v>34</v>
      </c>
      <c r="X367" s="1">
        <v>236</v>
      </c>
      <c r="Y367" s="5">
        <f>STREAMS_STATS[[#This Row],[Duration]]/60</f>
        <v>3.9333333333333331</v>
      </c>
      <c r="Z367" s="1">
        <v>0</v>
      </c>
      <c r="AA367" s="1">
        <v>4</v>
      </c>
      <c r="AB367" s="1">
        <v>85</v>
      </c>
    </row>
    <row r="368" spans="1:28">
      <c r="A368" t="s">
        <v>599</v>
      </c>
      <c r="B368" s="1" t="s">
        <v>226</v>
      </c>
      <c r="C368" s="1" t="s">
        <v>67</v>
      </c>
      <c r="D368" s="1">
        <v>2013</v>
      </c>
      <c r="E368" s="3">
        <v>210038833</v>
      </c>
      <c r="F368" s="3" t="str" cm="1">
        <f t="array" ref="F36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68" s="1">
        <v>1474</v>
      </c>
      <c r="H368" s="1">
        <v>128</v>
      </c>
      <c r="I368" s="1">
        <v>1</v>
      </c>
      <c r="J368" s="1">
        <v>18724</v>
      </c>
      <c r="K368" s="1">
        <v>1</v>
      </c>
      <c r="L368" s="1">
        <v>12</v>
      </c>
      <c r="M368" s="1">
        <v>4</v>
      </c>
      <c r="N368" s="1">
        <v>22170</v>
      </c>
      <c r="O368" s="1">
        <v>175</v>
      </c>
      <c r="P368" s="2">
        <f>SUM(STREAMS_STATS[[#This Row],[In Spotify Playlists]],STREAMS_STATS[[#This Row],[In Apple Playlists]],STREAMS_STATS[[#This Row],[In Deezer Playlists]],STREAMS_STATS[[#This Row],[In YouTube Playlists]])</f>
        <v>42380</v>
      </c>
      <c r="Q368" s="1">
        <v>95</v>
      </c>
      <c r="R368" s="1">
        <v>-4</v>
      </c>
      <c r="S368" s="1" t="s">
        <v>75</v>
      </c>
      <c r="T368" s="1">
        <v>84</v>
      </c>
      <c r="U368" s="1">
        <v>71</v>
      </c>
      <c r="V368" s="1">
        <v>21</v>
      </c>
      <c r="W368" s="1">
        <v>66</v>
      </c>
      <c r="X368" s="1">
        <v>207</v>
      </c>
      <c r="Y368" s="5">
        <f>STREAMS_STATS[[#This Row],[Duration]]/60</f>
        <v>3.45</v>
      </c>
      <c r="Z368" s="1">
        <v>16</v>
      </c>
      <c r="AA368" s="1">
        <v>3</v>
      </c>
      <c r="AB368" s="1">
        <v>35</v>
      </c>
    </row>
    <row r="369" spans="1:28">
      <c r="A369" t="s">
        <v>600</v>
      </c>
      <c r="B369" s="1" t="s">
        <v>601</v>
      </c>
      <c r="C369" s="1" t="s">
        <v>67</v>
      </c>
      <c r="D369" s="1">
        <v>2013</v>
      </c>
      <c r="E369" s="3">
        <v>225093344</v>
      </c>
      <c r="F369" s="3" t="str" cm="1">
        <f t="array" ref="F369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69" s="1">
        <v>1584</v>
      </c>
      <c r="H369" s="1">
        <v>444</v>
      </c>
      <c r="I369" s="1">
        <v>98</v>
      </c>
      <c r="J369" s="1">
        <v>10007</v>
      </c>
      <c r="K369" s="1">
        <v>98</v>
      </c>
      <c r="L369" s="1">
        <v>582</v>
      </c>
      <c r="M369" s="1">
        <v>2</v>
      </c>
      <c r="N369" s="1">
        <v>5767</v>
      </c>
      <c r="O369" s="1">
        <v>134</v>
      </c>
      <c r="P369" s="2">
        <f>SUM(STREAMS_STATS[[#This Row],[In Spotify Playlists]],STREAMS_STATS[[#This Row],[In Apple Playlists]],STREAMS_STATS[[#This Row],[In Deezer Playlists]],STREAMS_STATS[[#This Row],[In YouTube Playlists]])</f>
        <v>17940</v>
      </c>
      <c r="Q369" s="1">
        <v>107</v>
      </c>
      <c r="R369" s="1">
        <v>-6</v>
      </c>
      <c r="S369" s="1" t="s">
        <v>68</v>
      </c>
      <c r="T369" s="1">
        <v>70</v>
      </c>
      <c r="U369" s="1">
        <v>77</v>
      </c>
      <c r="V369" s="1">
        <v>6</v>
      </c>
      <c r="W369" s="1">
        <v>79</v>
      </c>
      <c r="X369" s="1">
        <v>227</v>
      </c>
      <c r="Y369" s="5">
        <f>STREAMS_STATS[[#This Row],[Duration]]/60</f>
        <v>3.7833333333333332</v>
      </c>
      <c r="Z369" s="1">
        <v>1</v>
      </c>
      <c r="AA369" s="1">
        <v>3</v>
      </c>
      <c r="AB369" s="1">
        <v>43</v>
      </c>
    </row>
    <row r="370" spans="1:28">
      <c r="A370" t="s">
        <v>602</v>
      </c>
      <c r="B370" s="1" t="s">
        <v>95</v>
      </c>
      <c r="C370" s="1" t="s">
        <v>67</v>
      </c>
      <c r="D370" s="1">
        <v>2011</v>
      </c>
      <c r="E370" s="3">
        <v>295307001</v>
      </c>
      <c r="F370" s="3" t="str" cm="1">
        <f t="array" ref="F37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70" s="1">
        <v>2259</v>
      </c>
      <c r="H370" s="1">
        <v>374</v>
      </c>
      <c r="I370" s="1">
        <v>127</v>
      </c>
      <c r="J370" s="1">
        <v>11384</v>
      </c>
      <c r="K370" s="1">
        <v>82</v>
      </c>
      <c r="L370" s="1">
        <v>6249</v>
      </c>
      <c r="M370" s="1">
        <v>142</v>
      </c>
      <c r="N370" s="1">
        <v>8589</v>
      </c>
      <c r="O370" s="1">
        <v>267</v>
      </c>
      <c r="P370" s="2">
        <f>SUM(STREAMS_STATS[[#This Row],[In Spotify Playlists]],STREAMS_STATS[[#This Row],[In Apple Playlists]],STREAMS_STATS[[#This Row],[In Deezer Playlists]],STREAMS_STATS[[#This Row],[In YouTube Playlists]])</f>
        <v>28481</v>
      </c>
      <c r="Q370" s="1">
        <v>120</v>
      </c>
      <c r="R370" s="1">
        <v>-5</v>
      </c>
      <c r="S370" s="1" t="s">
        <v>68</v>
      </c>
      <c r="T370" s="1">
        <v>81</v>
      </c>
      <c r="U370" s="1">
        <v>71</v>
      </c>
      <c r="V370" s="1">
        <v>37</v>
      </c>
      <c r="W370" s="1">
        <v>89</v>
      </c>
      <c r="X370" s="1">
        <v>223</v>
      </c>
      <c r="Y370" s="5">
        <f>STREAMS_STATS[[#This Row],[Duration]]/60</f>
        <v>3.7166666666666668</v>
      </c>
      <c r="Z370" s="1">
        <v>13</v>
      </c>
      <c r="AA370" s="1">
        <v>6</v>
      </c>
      <c r="AB370" s="1">
        <v>58</v>
      </c>
    </row>
    <row r="371" spans="1:28">
      <c r="A371" t="s">
        <v>603</v>
      </c>
      <c r="B371" s="1" t="s">
        <v>85</v>
      </c>
      <c r="C371" s="1" t="s">
        <v>86</v>
      </c>
      <c r="D371" s="1">
        <v>2012</v>
      </c>
      <c r="E371" s="3">
        <v>1361425037</v>
      </c>
      <c r="F371" s="3" t="str" cm="1">
        <f t="array" ref="F371">_xlfn.IFS(STREAMS_STATS[[#This Row],[Streams]] &gt;= 1000000000, "1B+", STREAMS_STATS[[#This Row],[Streams]] &gt;= 500000000, "500M–1B", STREAMS_STATS[[#This Row],[Streams]] &gt;= 250000000, "250M–500M", TRUE, "Under 250M")</f>
        <v>1B+</v>
      </c>
      <c r="G371" s="1">
        <v>14749</v>
      </c>
      <c r="H371" s="1">
        <v>40</v>
      </c>
      <c r="I371" s="1">
        <v>136</v>
      </c>
      <c r="J371" s="1">
        <v>27923</v>
      </c>
      <c r="K371" s="1">
        <v>97</v>
      </c>
      <c r="L371" s="1">
        <v>2163</v>
      </c>
      <c r="M371" s="1">
        <v>82</v>
      </c>
      <c r="N371" s="1">
        <v>30206</v>
      </c>
      <c r="O371" s="1">
        <v>280</v>
      </c>
      <c r="P371" s="2">
        <f>SUM(STREAMS_STATS[[#This Row],[In Spotify Playlists]],STREAMS_STATS[[#This Row],[In Apple Playlists]],STREAMS_STATS[[#This Row],[In Deezer Playlists]],STREAMS_STATS[[#This Row],[In YouTube Playlists]])</f>
        <v>75041</v>
      </c>
      <c r="Q371" s="1">
        <v>140</v>
      </c>
      <c r="R371" s="1">
        <v>-7</v>
      </c>
      <c r="S371" s="1" t="s">
        <v>75</v>
      </c>
      <c r="T371" s="1">
        <v>59</v>
      </c>
      <c r="U371" s="1">
        <v>45</v>
      </c>
      <c r="V371" s="1">
        <v>8</v>
      </c>
      <c r="W371" s="1">
        <v>20</v>
      </c>
      <c r="X371" s="1">
        <v>279</v>
      </c>
      <c r="Y371" s="5">
        <f>STREAMS_STATS[[#This Row],[Duration]]/60</f>
        <v>4.6500000000000004</v>
      </c>
      <c r="Z371" s="1">
        <v>5</v>
      </c>
      <c r="AA371" s="1">
        <v>3</v>
      </c>
      <c r="AB371" s="1">
        <v>79</v>
      </c>
    </row>
    <row r="372" spans="1:28">
      <c r="A372" t="s">
        <v>604</v>
      </c>
      <c r="B372" s="1" t="s">
        <v>35</v>
      </c>
      <c r="C372" s="1" t="s">
        <v>24</v>
      </c>
      <c r="D372" s="1">
        <v>2017</v>
      </c>
      <c r="E372" s="3">
        <v>924193303</v>
      </c>
      <c r="F372" s="3" t="str" cm="1">
        <f t="array" ref="F37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72" s="1">
        <v>8429</v>
      </c>
      <c r="H372" s="1">
        <v>74</v>
      </c>
      <c r="I372" s="1">
        <v>45</v>
      </c>
      <c r="J372" s="1">
        <v>31110</v>
      </c>
      <c r="K372" s="1">
        <v>45</v>
      </c>
      <c r="L372" s="1">
        <v>119</v>
      </c>
      <c r="M372" s="1">
        <v>38</v>
      </c>
      <c r="N372" s="1">
        <v>9273</v>
      </c>
      <c r="O372" s="1">
        <v>189</v>
      </c>
      <c r="P372" s="2">
        <f>SUM(STREAMS_STATS[[#This Row],[In Spotify Playlists]],STREAMS_STATS[[#This Row],[In Apple Playlists]],STREAMS_STATS[[#This Row],[In Deezer Playlists]],STREAMS_STATS[[#This Row],[In YouTube Playlists]])</f>
        <v>48931</v>
      </c>
      <c r="Q372" s="1">
        <v>100</v>
      </c>
      <c r="R372" s="1">
        <v>-7</v>
      </c>
      <c r="S372" s="1" t="s">
        <v>68</v>
      </c>
      <c r="T372" s="1">
        <v>64</v>
      </c>
      <c r="U372" s="1">
        <v>65</v>
      </c>
      <c r="V372" s="1">
        <v>9</v>
      </c>
      <c r="W372" s="1">
        <v>25</v>
      </c>
      <c r="X372" s="1">
        <v>222</v>
      </c>
      <c r="Y372" s="5">
        <f>STREAMS_STATS[[#This Row],[Duration]]/60</f>
        <v>3.7</v>
      </c>
      <c r="Z372" s="1">
        <v>2</v>
      </c>
      <c r="AA372" s="1">
        <v>3</v>
      </c>
      <c r="AB372" s="1">
        <v>76</v>
      </c>
    </row>
    <row r="373" spans="1:28">
      <c r="A373" t="s">
        <v>605</v>
      </c>
      <c r="B373" s="1" t="s">
        <v>162</v>
      </c>
      <c r="C373" s="1" t="s">
        <v>67</v>
      </c>
      <c r="D373" s="1">
        <v>2012</v>
      </c>
      <c r="E373" s="3">
        <v>608228647</v>
      </c>
      <c r="F373" s="3" t="str" cm="1">
        <f t="array" ref="F37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73" s="1">
        <v>4963</v>
      </c>
      <c r="H373" s="1">
        <v>236</v>
      </c>
      <c r="I373" s="1">
        <v>15</v>
      </c>
      <c r="J373" s="1">
        <v>21939</v>
      </c>
      <c r="K373" s="1">
        <v>91</v>
      </c>
      <c r="L373" s="1">
        <v>7961</v>
      </c>
      <c r="M373" s="1">
        <v>106</v>
      </c>
      <c r="N373" s="1">
        <v>16913</v>
      </c>
      <c r="O373" s="1">
        <v>22</v>
      </c>
      <c r="P373" s="2">
        <f>SUM(STREAMS_STATS[[#This Row],[In Spotify Playlists]],STREAMS_STATS[[#This Row],[In Apple Playlists]],STREAMS_STATS[[#This Row],[In Deezer Playlists]],STREAMS_STATS[[#This Row],[In YouTube Playlists]])</f>
        <v>51776</v>
      </c>
      <c r="Q373" s="1">
        <v>130</v>
      </c>
      <c r="R373" s="1">
        <v>-5</v>
      </c>
      <c r="S373" s="1" t="s">
        <v>68</v>
      </c>
      <c r="T373" s="1">
        <v>92</v>
      </c>
      <c r="U373" s="1">
        <v>68</v>
      </c>
      <c r="V373" s="1">
        <v>7</v>
      </c>
      <c r="W373" s="1">
        <v>77</v>
      </c>
      <c r="X373" s="1">
        <v>216</v>
      </c>
      <c r="Y373" s="5">
        <f>STREAMS_STATS[[#This Row],[Duration]]/60</f>
        <v>3.6</v>
      </c>
      <c r="Z373" s="1">
        <v>0</v>
      </c>
      <c r="AA373" s="1">
        <v>4</v>
      </c>
      <c r="AB373" s="1">
        <v>71</v>
      </c>
    </row>
    <row r="374" spans="1:28">
      <c r="A374" t="s">
        <v>606</v>
      </c>
      <c r="B374" s="1" t="s">
        <v>69</v>
      </c>
      <c r="C374" s="1" t="s">
        <v>67</v>
      </c>
      <c r="D374" s="1">
        <v>2014</v>
      </c>
      <c r="E374" s="3">
        <v>381161027</v>
      </c>
      <c r="F374" s="3" t="str" cm="1">
        <f t="array" ref="F37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74" s="1">
        <v>2988</v>
      </c>
      <c r="H374" s="1">
        <v>210</v>
      </c>
      <c r="I374" s="1">
        <v>18</v>
      </c>
      <c r="J374" s="1">
        <v>5386</v>
      </c>
      <c r="K374" s="1">
        <v>18</v>
      </c>
      <c r="L374" s="1">
        <v>1</v>
      </c>
      <c r="M374" s="1">
        <v>2</v>
      </c>
      <c r="N374" s="1">
        <v>37969</v>
      </c>
      <c r="O374" s="1">
        <v>68</v>
      </c>
      <c r="P374" s="2">
        <f>SUM(STREAMS_STATS[[#This Row],[In Spotify Playlists]],STREAMS_STATS[[#This Row],[In Apple Playlists]],STREAMS_STATS[[#This Row],[In Deezer Playlists]],STREAMS_STATS[[#This Row],[In YouTube Playlists]])</f>
        <v>46344</v>
      </c>
      <c r="Q374" s="1">
        <v>186</v>
      </c>
      <c r="R374" s="1">
        <v>-12</v>
      </c>
      <c r="S374" s="1" t="s">
        <v>75</v>
      </c>
      <c r="T374" s="1">
        <v>44</v>
      </c>
      <c r="U374" s="1">
        <v>41</v>
      </c>
      <c r="V374" s="1">
        <v>31</v>
      </c>
      <c r="W374" s="1">
        <v>17</v>
      </c>
      <c r="X374" s="1">
        <v>319</v>
      </c>
      <c r="Y374" s="5">
        <f>STREAMS_STATS[[#This Row],[Duration]]/60</f>
        <v>5.3166666666666664</v>
      </c>
      <c r="Z374" s="1">
        <v>3</v>
      </c>
      <c r="AA374" s="1">
        <v>29</v>
      </c>
      <c r="AB374" s="1">
        <v>65</v>
      </c>
    </row>
    <row r="375" spans="1:28">
      <c r="A375" t="s">
        <v>607</v>
      </c>
      <c r="B375" s="1" t="s">
        <v>608</v>
      </c>
      <c r="C375" s="1" t="s">
        <v>67</v>
      </c>
      <c r="D375" s="1">
        <v>2011</v>
      </c>
      <c r="E375" s="3">
        <v>686734357</v>
      </c>
      <c r="F375" s="3" t="str" cm="1">
        <f t="array" ref="F37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75" s="1">
        <v>6026</v>
      </c>
      <c r="H375" s="1">
        <v>382</v>
      </c>
      <c r="I375" s="1">
        <v>169</v>
      </c>
      <c r="J375" s="1">
        <v>24015</v>
      </c>
      <c r="K375" s="1">
        <v>97</v>
      </c>
      <c r="L375" s="1">
        <v>3337</v>
      </c>
      <c r="M375" s="1">
        <v>79</v>
      </c>
      <c r="N375" s="1">
        <v>31968</v>
      </c>
      <c r="O375" s="1">
        <v>171</v>
      </c>
      <c r="P375" s="2">
        <f>SUM(STREAMS_STATS[[#This Row],[In Spotify Playlists]],STREAMS_STATS[[#This Row],[In Apple Playlists]],STREAMS_STATS[[#This Row],[In Deezer Playlists]],STREAMS_STATS[[#This Row],[In YouTube Playlists]])</f>
        <v>65346</v>
      </c>
      <c r="Q375" s="1">
        <v>130</v>
      </c>
      <c r="R375" s="1">
        <v>-4</v>
      </c>
      <c r="S375" s="1" t="s">
        <v>68</v>
      </c>
      <c r="T375" s="1">
        <v>74</v>
      </c>
      <c r="U375" s="1">
        <v>75</v>
      </c>
      <c r="V375" s="1">
        <v>27</v>
      </c>
      <c r="W375" s="1">
        <v>35</v>
      </c>
      <c r="X375" s="1">
        <v>262</v>
      </c>
      <c r="Y375" s="5">
        <f>STREAMS_STATS[[#This Row],[Duration]]/60</f>
        <v>4.3666666666666663</v>
      </c>
      <c r="Z375" s="1">
        <v>2</v>
      </c>
      <c r="AA375" s="1">
        <v>16</v>
      </c>
      <c r="AB375" s="1">
        <v>72</v>
      </c>
    </row>
    <row r="376" spans="1:28">
      <c r="A376" t="s">
        <v>609</v>
      </c>
      <c r="B376" s="1" t="s">
        <v>32</v>
      </c>
      <c r="C376" s="1" t="s">
        <v>25</v>
      </c>
      <c r="D376" s="1">
        <v>2012</v>
      </c>
      <c r="E376" s="3">
        <v>1357608774</v>
      </c>
      <c r="F376" s="3" t="str" cm="1">
        <f t="array" ref="F376">_xlfn.IFS(STREAMS_STATS[[#This Row],[Streams]] &gt;= 1000000000, "1B+", STREAMS_STATS[[#This Row],[Streams]] &gt;= 500000000, "500M–1B", STREAMS_STATS[[#This Row],[Streams]] &gt;= 250000000, "250M–500M", TRUE, "Under 250M")</f>
        <v>1B+</v>
      </c>
      <c r="G376" s="1">
        <v>14739</v>
      </c>
      <c r="H376" s="1">
        <v>50</v>
      </c>
      <c r="I376" s="1">
        <v>63</v>
      </c>
      <c r="J376" s="1">
        <v>21922</v>
      </c>
      <c r="K376" s="1">
        <v>69</v>
      </c>
      <c r="L376" s="1">
        <v>4371</v>
      </c>
      <c r="M376" s="1">
        <v>107</v>
      </c>
      <c r="N376" s="1">
        <v>18182</v>
      </c>
      <c r="O376" s="1">
        <v>191</v>
      </c>
      <c r="P376" s="2">
        <f>SUM(STREAMS_STATS[[#This Row],[In Spotify Playlists]],STREAMS_STATS[[#This Row],[In Apple Playlists]],STREAMS_STATS[[#This Row],[In Deezer Playlists]],STREAMS_STATS[[#This Row],[In YouTube Playlists]])</f>
        <v>59214</v>
      </c>
      <c r="Q376" s="1">
        <v>110</v>
      </c>
      <c r="R376" s="1">
        <v>-5</v>
      </c>
      <c r="S376" s="1" t="s">
        <v>68</v>
      </c>
      <c r="T376" s="1">
        <v>75</v>
      </c>
      <c r="U376" s="1">
        <v>74</v>
      </c>
      <c r="V376" s="1">
        <v>29</v>
      </c>
      <c r="W376" s="1">
        <v>55</v>
      </c>
      <c r="X376" s="1">
        <v>231</v>
      </c>
      <c r="Y376" s="5">
        <f>STREAMS_STATS[[#This Row],[Duration]]/60</f>
        <v>3.85</v>
      </c>
      <c r="Z376" s="1">
        <v>2</v>
      </c>
      <c r="AA376" s="1">
        <v>4</v>
      </c>
      <c r="AB376" s="1">
        <v>85</v>
      </c>
    </row>
    <row r="377" spans="1:28">
      <c r="A377" t="s">
        <v>610</v>
      </c>
      <c r="B377" s="1" t="s">
        <v>384</v>
      </c>
      <c r="C377" s="1" t="s">
        <v>67</v>
      </c>
      <c r="D377" s="1">
        <v>2013</v>
      </c>
      <c r="E377" s="3">
        <v>231996128</v>
      </c>
      <c r="F377" s="3" t="str" cm="1">
        <f t="array" ref="F37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77" s="1">
        <v>1622</v>
      </c>
      <c r="H377" s="1">
        <v>226</v>
      </c>
      <c r="I377" s="1">
        <v>52</v>
      </c>
      <c r="J377" s="1">
        <v>32207</v>
      </c>
      <c r="K377" s="1">
        <v>52</v>
      </c>
      <c r="L377" s="1">
        <v>8</v>
      </c>
      <c r="M377" s="1">
        <v>18</v>
      </c>
      <c r="N377" s="1">
        <v>17566</v>
      </c>
      <c r="O377" s="1">
        <v>75</v>
      </c>
      <c r="P377" s="2">
        <f>SUM(STREAMS_STATS[[#This Row],[In Spotify Playlists]],STREAMS_STATS[[#This Row],[In Apple Playlists]],STREAMS_STATS[[#This Row],[In Deezer Playlists]],STREAMS_STATS[[#This Row],[In YouTube Playlists]])</f>
        <v>51403</v>
      </c>
      <c r="Q377" s="1">
        <v>128</v>
      </c>
      <c r="R377" s="1">
        <v>-5</v>
      </c>
      <c r="S377" s="1" t="s">
        <v>75</v>
      </c>
      <c r="T377" s="1">
        <v>79</v>
      </c>
      <c r="U377" s="1">
        <v>60</v>
      </c>
      <c r="V377" s="1">
        <v>36</v>
      </c>
      <c r="W377" s="1">
        <v>61</v>
      </c>
      <c r="X377" s="1">
        <v>259</v>
      </c>
      <c r="Y377" s="5">
        <f>STREAMS_STATS[[#This Row],[Duration]]/60</f>
        <v>4.3166666666666664</v>
      </c>
      <c r="Z377" s="1">
        <v>4</v>
      </c>
      <c r="AA377" s="1">
        <v>4</v>
      </c>
      <c r="AB377" s="1">
        <v>45</v>
      </c>
    </row>
    <row r="378" spans="1:28">
      <c r="A378" t="s">
        <v>611</v>
      </c>
      <c r="B378" s="1" t="s">
        <v>612</v>
      </c>
      <c r="C378" s="1" t="s">
        <v>67</v>
      </c>
      <c r="D378" s="1">
        <v>2016</v>
      </c>
      <c r="E378" s="3">
        <v>236857112</v>
      </c>
      <c r="F378" s="3" t="str" cm="1">
        <f t="array" ref="F37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78" s="1">
        <v>1647</v>
      </c>
      <c r="H378" s="1">
        <v>224</v>
      </c>
      <c r="I378" s="1">
        <v>3</v>
      </c>
      <c r="J378" s="1">
        <v>32318</v>
      </c>
      <c r="K378" s="1">
        <v>3</v>
      </c>
      <c r="L378" s="1">
        <v>42</v>
      </c>
      <c r="M378" s="1">
        <v>12</v>
      </c>
      <c r="N378" s="1">
        <v>9570</v>
      </c>
      <c r="O378" s="1">
        <v>273</v>
      </c>
      <c r="P378" s="2">
        <f>SUM(STREAMS_STATS[[#This Row],[In Spotify Playlists]],STREAMS_STATS[[#This Row],[In Apple Playlists]],STREAMS_STATS[[#This Row],[In Deezer Playlists]],STREAMS_STATS[[#This Row],[In YouTube Playlists]])</f>
        <v>43577</v>
      </c>
      <c r="Q378" s="1">
        <v>90</v>
      </c>
      <c r="R378" s="1">
        <v>-4</v>
      </c>
      <c r="S378" s="1" t="s">
        <v>68</v>
      </c>
      <c r="T378" s="1">
        <v>75</v>
      </c>
      <c r="U378" s="1">
        <v>83</v>
      </c>
      <c r="V378" s="1">
        <v>20</v>
      </c>
      <c r="W378" s="1">
        <v>32</v>
      </c>
      <c r="X378" s="1">
        <v>263</v>
      </c>
      <c r="Y378" s="5">
        <f>STREAMS_STATS[[#This Row],[Duration]]/60</f>
        <v>4.3833333333333337</v>
      </c>
      <c r="Z378" s="1">
        <v>22</v>
      </c>
      <c r="AA378" s="1">
        <v>12</v>
      </c>
      <c r="AB378" s="1">
        <v>47</v>
      </c>
    </row>
    <row r="379" spans="1:28">
      <c r="A379" t="s">
        <v>613</v>
      </c>
      <c r="B379" s="1" t="s">
        <v>158</v>
      </c>
      <c r="C379" s="1" t="s">
        <v>159</v>
      </c>
      <c r="D379" s="1">
        <v>2015</v>
      </c>
      <c r="E379" s="3">
        <v>267789608</v>
      </c>
      <c r="F379" s="3" t="str" cm="1">
        <f t="array" ref="F37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79" s="1">
        <v>1992</v>
      </c>
      <c r="H379" s="1">
        <v>173</v>
      </c>
      <c r="I379" s="1">
        <v>1</v>
      </c>
      <c r="J379" s="1">
        <v>12637</v>
      </c>
      <c r="K379" s="1">
        <v>1</v>
      </c>
      <c r="L379" s="1">
        <v>11</v>
      </c>
      <c r="M379" s="1">
        <v>48</v>
      </c>
      <c r="N379" s="1">
        <v>9548</v>
      </c>
      <c r="O379" s="1">
        <v>293</v>
      </c>
      <c r="P379" s="2">
        <f>SUM(STREAMS_STATS[[#This Row],[In Spotify Playlists]],STREAMS_STATS[[#This Row],[In Apple Playlists]],STREAMS_STATS[[#This Row],[In Deezer Playlists]],STREAMS_STATS[[#This Row],[In YouTube Playlists]])</f>
        <v>24188</v>
      </c>
      <c r="Q379" s="1">
        <v>100</v>
      </c>
      <c r="R379" s="1">
        <v>-5</v>
      </c>
      <c r="S379" s="1" t="s">
        <v>75</v>
      </c>
      <c r="T379" s="1">
        <v>82</v>
      </c>
      <c r="U379" s="1">
        <v>65</v>
      </c>
      <c r="V379" s="1">
        <v>12</v>
      </c>
      <c r="W379" s="1">
        <v>40</v>
      </c>
      <c r="X379" s="1">
        <v>230</v>
      </c>
      <c r="Y379" s="5">
        <f>STREAMS_STATS[[#This Row],[Duration]]/60</f>
        <v>3.8333333333333335</v>
      </c>
      <c r="Z379" s="1">
        <v>6</v>
      </c>
      <c r="AA379" s="1">
        <v>8</v>
      </c>
      <c r="AB379" s="1">
        <v>55</v>
      </c>
    </row>
    <row r="380" spans="1:28">
      <c r="A380" t="s">
        <v>614</v>
      </c>
      <c r="B380" s="1" t="s">
        <v>31</v>
      </c>
      <c r="C380" s="1" t="s">
        <v>25</v>
      </c>
      <c r="D380" s="1">
        <v>2018</v>
      </c>
      <c r="E380" s="3">
        <v>1163620694</v>
      </c>
      <c r="F380" s="3" t="str" cm="1">
        <f t="array" ref="F380">_xlfn.IFS(STREAMS_STATS[[#This Row],[Streams]] &gt;= 1000000000, "1B+", STREAMS_STATS[[#This Row],[Streams]] &gt;= 500000000, "500M–1B", STREAMS_STATS[[#This Row],[Streams]] &gt;= 250000000, "250M–500M", TRUE, "Under 250M")</f>
        <v>1B+</v>
      </c>
      <c r="G380" s="1">
        <v>10826</v>
      </c>
      <c r="H380" s="1">
        <v>83</v>
      </c>
      <c r="I380" s="1">
        <v>87</v>
      </c>
      <c r="J380" s="1">
        <v>31557</v>
      </c>
      <c r="K380" s="1">
        <v>87</v>
      </c>
      <c r="L380" s="2">
        <v>2430</v>
      </c>
      <c r="M380" s="1">
        <v>40</v>
      </c>
      <c r="N380" s="1">
        <v>17984</v>
      </c>
      <c r="O380" s="1">
        <v>225</v>
      </c>
      <c r="P380" s="2">
        <f>SUM(STREAMS_STATS[[#This Row],[In Spotify Playlists]],STREAMS_STATS[[#This Row],[In Apple Playlists]],STREAMS_STATS[[#This Row],[In Deezer Playlists]],STREAMS_STATS[[#This Row],[In YouTube Playlists]])</f>
        <v>62797</v>
      </c>
      <c r="Q380" s="1">
        <v>95</v>
      </c>
      <c r="R380" s="1">
        <v>-7</v>
      </c>
      <c r="S380" s="1" t="s">
        <v>75</v>
      </c>
      <c r="T380" s="1">
        <v>30</v>
      </c>
      <c r="U380" s="1">
        <v>59</v>
      </c>
      <c r="V380" s="1">
        <v>12</v>
      </c>
      <c r="W380" s="1">
        <v>36</v>
      </c>
      <c r="X380" s="1">
        <v>260</v>
      </c>
      <c r="Y380" s="5">
        <f>STREAMS_STATS[[#This Row],[Duration]]/60</f>
        <v>4.333333333333333</v>
      </c>
      <c r="Z380" s="1">
        <v>78</v>
      </c>
      <c r="AA380" s="1">
        <v>3</v>
      </c>
      <c r="AB380" s="1">
        <v>85</v>
      </c>
    </row>
    <row r="381" spans="1:28">
      <c r="A381" t="s">
        <v>615</v>
      </c>
      <c r="B381" s="1" t="s">
        <v>97</v>
      </c>
      <c r="C381" s="1" t="s">
        <v>67</v>
      </c>
      <c r="D381" s="1">
        <v>2016</v>
      </c>
      <c r="E381" s="3">
        <v>432702334</v>
      </c>
      <c r="F381" s="3" t="str" cm="1">
        <f t="array" ref="F38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81" s="1">
        <v>3423</v>
      </c>
      <c r="H381" s="1">
        <v>134</v>
      </c>
      <c r="I381" s="1">
        <v>12</v>
      </c>
      <c r="J381" s="1">
        <v>9634</v>
      </c>
      <c r="K381" s="1">
        <v>12</v>
      </c>
      <c r="L381" s="1">
        <v>173</v>
      </c>
      <c r="M381" s="1">
        <v>11</v>
      </c>
      <c r="N381" s="1">
        <v>32804</v>
      </c>
      <c r="O381" s="1">
        <v>238</v>
      </c>
      <c r="P381" s="2">
        <f>SUM(STREAMS_STATS[[#This Row],[In Spotify Playlists]],STREAMS_STATS[[#This Row],[In Apple Playlists]],STREAMS_STATS[[#This Row],[In Deezer Playlists]],STREAMS_STATS[[#This Row],[In YouTube Playlists]])</f>
        <v>46034</v>
      </c>
      <c r="Q381" s="1">
        <v>125</v>
      </c>
      <c r="R381" s="1">
        <v>-5</v>
      </c>
      <c r="S381" s="1" t="s">
        <v>75</v>
      </c>
      <c r="T381" s="1">
        <v>86</v>
      </c>
      <c r="U381" s="1">
        <v>61</v>
      </c>
      <c r="V381" s="1">
        <v>36</v>
      </c>
      <c r="W381" s="1">
        <v>66</v>
      </c>
      <c r="X381" s="1">
        <v>182</v>
      </c>
      <c r="Y381" s="5">
        <f>STREAMS_STATS[[#This Row],[Duration]]/60</f>
        <v>3.0333333333333332</v>
      </c>
      <c r="Z381" s="1">
        <v>0</v>
      </c>
      <c r="AA381" s="1">
        <v>4</v>
      </c>
      <c r="AB381" s="1">
        <v>67</v>
      </c>
    </row>
    <row r="382" spans="1:28">
      <c r="A382" t="s">
        <v>616</v>
      </c>
      <c r="B382" s="1" t="s">
        <v>617</v>
      </c>
      <c r="C382" s="1" t="s">
        <v>253</v>
      </c>
      <c r="D382" s="1">
        <v>2016</v>
      </c>
      <c r="E382" s="3">
        <v>203436468</v>
      </c>
      <c r="F382" s="3" t="str" cm="1">
        <f t="array" ref="F38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82" s="1">
        <v>1444</v>
      </c>
      <c r="H382" s="1">
        <v>267</v>
      </c>
      <c r="I382" s="1">
        <v>47</v>
      </c>
      <c r="J382" s="1">
        <v>8230</v>
      </c>
      <c r="K382" s="1">
        <v>47</v>
      </c>
      <c r="L382" s="1">
        <v>15</v>
      </c>
      <c r="M382" s="1">
        <v>23</v>
      </c>
      <c r="N382" s="1">
        <v>4542</v>
      </c>
      <c r="O382" s="1">
        <v>233</v>
      </c>
      <c r="P382" s="2">
        <f>SUM(STREAMS_STATS[[#This Row],[In Spotify Playlists]],STREAMS_STATS[[#This Row],[In Apple Playlists]],STREAMS_STATS[[#This Row],[In Deezer Playlists]],STREAMS_STATS[[#This Row],[In YouTube Playlists]])</f>
        <v>14231</v>
      </c>
      <c r="Q382" s="1">
        <v>186</v>
      </c>
      <c r="R382" s="1">
        <v>-3</v>
      </c>
      <c r="S382" s="1" t="s">
        <v>68</v>
      </c>
      <c r="T382" s="1">
        <v>81</v>
      </c>
      <c r="U382" s="1">
        <v>70</v>
      </c>
      <c r="V382" s="1">
        <v>37</v>
      </c>
      <c r="W382" s="1">
        <v>69</v>
      </c>
      <c r="X382" s="1">
        <v>225</v>
      </c>
      <c r="Y382" s="5">
        <f>STREAMS_STATS[[#This Row],[Duration]]/60</f>
        <v>3.75</v>
      </c>
      <c r="Z382" s="1">
        <v>9</v>
      </c>
      <c r="AA382" s="1">
        <v>7</v>
      </c>
      <c r="AB382" s="1">
        <v>29</v>
      </c>
    </row>
    <row r="383" spans="1:28">
      <c r="A383" t="s">
        <v>618</v>
      </c>
      <c r="B383" s="1" t="s">
        <v>303</v>
      </c>
      <c r="C383" s="1" t="s">
        <v>67</v>
      </c>
      <c r="D383" s="1">
        <v>2016</v>
      </c>
      <c r="E383" s="3">
        <v>404664135</v>
      </c>
      <c r="F383" s="3" t="str" cm="1">
        <f t="array" ref="F38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83" s="1">
        <v>3202</v>
      </c>
      <c r="H383" s="1">
        <v>145</v>
      </c>
      <c r="I383" s="1">
        <v>44</v>
      </c>
      <c r="J383" s="1">
        <v>6763</v>
      </c>
      <c r="K383" s="1">
        <v>44</v>
      </c>
      <c r="L383" s="1">
        <v>24</v>
      </c>
      <c r="M383" s="1">
        <v>36</v>
      </c>
      <c r="N383" s="1">
        <v>23823</v>
      </c>
      <c r="O383" s="1">
        <v>333</v>
      </c>
      <c r="P383" s="2">
        <f>SUM(STREAMS_STATS[[#This Row],[In Spotify Playlists]],STREAMS_STATS[[#This Row],[In Apple Playlists]],STREAMS_STATS[[#This Row],[In Deezer Playlists]],STREAMS_STATS[[#This Row],[In YouTube Playlists]])</f>
        <v>33812</v>
      </c>
      <c r="Q383" s="1">
        <v>125</v>
      </c>
      <c r="R383" s="1">
        <v>-4</v>
      </c>
      <c r="S383" s="1" t="s">
        <v>68</v>
      </c>
      <c r="T383" s="1">
        <v>70</v>
      </c>
      <c r="U383" s="1">
        <v>59</v>
      </c>
      <c r="V383" s="1">
        <v>9</v>
      </c>
      <c r="W383" s="1">
        <v>43</v>
      </c>
      <c r="X383" s="1">
        <v>204</v>
      </c>
      <c r="Y383" s="5">
        <f>STREAMS_STATS[[#This Row],[Duration]]/60</f>
        <v>3.4</v>
      </c>
      <c r="Z383" s="1">
        <v>10</v>
      </c>
      <c r="AA383" s="1">
        <v>5</v>
      </c>
      <c r="AB383" s="1">
        <v>66</v>
      </c>
    </row>
    <row r="384" spans="1:28">
      <c r="A384" t="s">
        <v>619</v>
      </c>
      <c r="B384" s="1" t="s">
        <v>81</v>
      </c>
      <c r="C384" s="1" t="s">
        <v>67</v>
      </c>
      <c r="D384" s="1">
        <v>2013</v>
      </c>
      <c r="E384" s="3">
        <v>446390129</v>
      </c>
      <c r="F384" s="3" t="str" cm="1">
        <f t="array" ref="F38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84" s="1">
        <v>3501</v>
      </c>
      <c r="H384" s="1">
        <v>396</v>
      </c>
      <c r="I384" s="1">
        <v>117</v>
      </c>
      <c r="J384" s="1">
        <v>36522</v>
      </c>
      <c r="K384" s="1">
        <v>117</v>
      </c>
      <c r="L384" s="1">
        <v>843</v>
      </c>
      <c r="M384" s="1">
        <v>4</v>
      </c>
      <c r="N384" s="1">
        <v>30601</v>
      </c>
      <c r="O384" s="1">
        <v>167</v>
      </c>
      <c r="P384" s="2">
        <f>SUM(STREAMS_STATS[[#This Row],[In Spotify Playlists]],STREAMS_STATS[[#This Row],[In Apple Playlists]],STREAMS_STATS[[#This Row],[In Deezer Playlists]],STREAMS_STATS[[#This Row],[In YouTube Playlists]])</f>
        <v>71467</v>
      </c>
      <c r="Q384" s="1">
        <v>130</v>
      </c>
      <c r="R384" s="1">
        <v>-3</v>
      </c>
      <c r="S384" s="1" t="s">
        <v>68</v>
      </c>
      <c r="T384" s="1">
        <v>87</v>
      </c>
      <c r="U384" s="1">
        <v>72</v>
      </c>
      <c r="V384" s="1">
        <v>66</v>
      </c>
      <c r="W384" s="1">
        <v>68</v>
      </c>
      <c r="X384" s="1">
        <v>209</v>
      </c>
      <c r="Y384" s="5">
        <f>STREAMS_STATS[[#This Row],[Duration]]/60</f>
        <v>3.4833333333333334</v>
      </c>
      <c r="Z384" s="1">
        <v>4</v>
      </c>
      <c r="AA384" s="1">
        <v>4</v>
      </c>
      <c r="AB384" s="1">
        <v>67</v>
      </c>
    </row>
    <row r="385" spans="1:28">
      <c r="A385" t="s">
        <v>620</v>
      </c>
      <c r="B385" s="1" t="s">
        <v>258</v>
      </c>
      <c r="C385" s="1" t="s">
        <v>67</v>
      </c>
      <c r="D385" s="1">
        <v>2011</v>
      </c>
      <c r="E385" s="3">
        <v>346127840</v>
      </c>
      <c r="F385" s="3" t="str" cm="1">
        <f t="array" ref="F38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85" s="1">
        <v>2696</v>
      </c>
      <c r="H385" s="1">
        <v>258</v>
      </c>
      <c r="I385" s="1">
        <v>39</v>
      </c>
      <c r="J385" s="1">
        <v>28010</v>
      </c>
      <c r="K385" s="1">
        <v>63</v>
      </c>
      <c r="L385" s="1">
        <v>5140</v>
      </c>
      <c r="M385" s="1">
        <v>200</v>
      </c>
      <c r="N385" s="1">
        <v>20412</v>
      </c>
      <c r="O385" s="1">
        <v>106</v>
      </c>
      <c r="P385" s="2">
        <f>SUM(STREAMS_STATS[[#This Row],[In Spotify Playlists]],STREAMS_STATS[[#This Row],[In Apple Playlists]],STREAMS_STATS[[#This Row],[In Deezer Playlists]],STREAMS_STATS[[#This Row],[In YouTube Playlists]])</f>
        <v>56258</v>
      </c>
      <c r="Q385" s="1">
        <v>120</v>
      </c>
      <c r="R385" s="1">
        <v>-4</v>
      </c>
      <c r="S385" s="1" t="s">
        <v>75</v>
      </c>
      <c r="T385" s="1">
        <v>88</v>
      </c>
      <c r="U385" s="1">
        <v>70</v>
      </c>
      <c r="V385" s="1">
        <v>13</v>
      </c>
      <c r="W385" s="1">
        <v>66</v>
      </c>
      <c r="X385" s="1">
        <v>197</v>
      </c>
      <c r="Y385" s="5">
        <f>STREAMS_STATS[[#This Row],[Duration]]/60</f>
        <v>3.2833333333333332</v>
      </c>
      <c r="Z385" s="1">
        <v>0</v>
      </c>
      <c r="AA385" s="1">
        <v>3</v>
      </c>
      <c r="AB385" s="1">
        <v>63</v>
      </c>
    </row>
    <row r="386" spans="1:28">
      <c r="A386" t="s">
        <v>621</v>
      </c>
      <c r="B386" s="1" t="s">
        <v>594</v>
      </c>
      <c r="C386" s="1" t="s">
        <v>159</v>
      </c>
      <c r="D386" s="1">
        <v>2013</v>
      </c>
      <c r="E386" s="3">
        <v>250305248</v>
      </c>
      <c r="F386" s="3" t="str" cm="1">
        <f t="array" ref="F38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86" s="1">
        <v>1888</v>
      </c>
      <c r="H386" s="1">
        <v>166</v>
      </c>
      <c r="I386" s="1">
        <v>15</v>
      </c>
      <c r="J386" s="1">
        <v>11587</v>
      </c>
      <c r="K386" s="1">
        <v>15</v>
      </c>
      <c r="L386" s="1">
        <v>5</v>
      </c>
      <c r="M386" s="1">
        <v>15</v>
      </c>
      <c r="N386" s="1">
        <v>27116</v>
      </c>
      <c r="O386" s="1">
        <v>318</v>
      </c>
      <c r="P386" s="2">
        <f>SUM(STREAMS_STATS[[#This Row],[In Spotify Playlists]],STREAMS_STATS[[#This Row],[In Apple Playlists]],STREAMS_STATS[[#This Row],[In Deezer Playlists]],STREAMS_STATS[[#This Row],[In YouTube Playlists]])</f>
        <v>40596</v>
      </c>
      <c r="Q386" s="1">
        <v>148</v>
      </c>
      <c r="R386" s="1">
        <v>-2</v>
      </c>
      <c r="S386" s="1" t="s">
        <v>75</v>
      </c>
      <c r="T386" s="1">
        <v>98</v>
      </c>
      <c r="U386" s="1">
        <v>68</v>
      </c>
      <c r="V386" s="1">
        <v>28</v>
      </c>
      <c r="W386" s="1">
        <v>90</v>
      </c>
      <c r="X386" s="1">
        <v>198</v>
      </c>
      <c r="Y386" s="5">
        <f>STREAMS_STATS[[#This Row],[Duration]]/60</f>
        <v>3.3</v>
      </c>
      <c r="Z386" s="1">
        <v>7</v>
      </c>
      <c r="AA386" s="1">
        <v>9</v>
      </c>
      <c r="AB386" s="1">
        <v>52</v>
      </c>
    </row>
    <row r="387" spans="1:28">
      <c r="A387" t="s">
        <v>622</v>
      </c>
      <c r="B387" s="1" t="s">
        <v>623</v>
      </c>
      <c r="C387" s="1" t="s">
        <v>624</v>
      </c>
      <c r="D387" s="1">
        <v>2014</v>
      </c>
      <c r="E387" s="3">
        <v>723894473</v>
      </c>
      <c r="F387" s="3" t="str" cm="1">
        <f t="array" ref="F38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87" s="1">
        <v>6332</v>
      </c>
      <c r="H387" s="1">
        <v>290</v>
      </c>
      <c r="I387" s="1">
        <v>27</v>
      </c>
      <c r="J387" s="1">
        <v>568</v>
      </c>
      <c r="K387" s="1">
        <v>27</v>
      </c>
      <c r="L387" s="1">
        <v>8</v>
      </c>
      <c r="M387" s="1">
        <v>35</v>
      </c>
      <c r="N387" s="1">
        <v>8643</v>
      </c>
      <c r="O387" s="1">
        <v>387</v>
      </c>
      <c r="P387" s="2">
        <f>SUM(STREAMS_STATS[[#This Row],[In Spotify Playlists]],STREAMS_STATS[[#This Row],[In Apple Playlists]],STREAMS_STATS[[#This Row],[In Deezer Playlists]],STREAMS_STATS[[#This Row],[In YouTube Playlists]])</f>
        <v>15551</v>
      </c>
      <c r="Q387" s="1">
        <v>127</v>
      </c>
      <c r="R387" s="1">
        <v>-6</v>
      </c>
      <c r="S387" s="1" t="s">
        <v>68</v>
      </c>
      <c r="T387" s="1">
        <v>72</v>
      </c>
      <c r="U387" s="1">
        <v>68</v>
      </c>
      <c r="V387" s="1">
        <v>27</v>
      </c>
      <c r="W387" s="1">
        <v>57</v>
      </c>
      <c r="X387" s="1">
        <v>214</v>
      </c>
      <c r="Y387" s="5">
        <f>STREAMS_STATS[[#This Row],[Duration]]/60</f>
        <v>3.5666666666666669</v>
      </c>
      <c r="Z387" s="1">
        <v>8</v>
      </c>
      <c r="AA387" s="1">
        <v>4</v>
      </c>
      <c r="AB387" s="1">
        <v>73</v>
      </c>
    </row>
    <row r="388" spans="1:28">
      <c r="A388" t="s">
        <v>625</v>
      </c>
      <c r="B388" s="1" t="s">
        <v>626</v>
      </c>
      <c r="C388" s="1" t="s">
        <v>627</v>
      </c>
      <c r="D388" s="1">
        <v>2015</v>
      </c>
      <c r="E388" s="3">
        <v>293466523</v>
      </c>
      <c r="F388" s="3" t="str" cm="1">
        <f t="array" ref="F38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88" s="1">
        <v>2226</v>
      </c>
      <c r="H388" s="1">
        <v>100</v>
      </c>
      <c r="I388" s="1">
        <v>125</v>
      </c>
      <c r="J388" s="1">
        <v>19382</v>
      </c>
      <c r="K388" s="1">
        <v>125</v>
      </c>
      <c r="L388" s="1">
        <v>435</v>
      </c>
      <c r="M388" s="1">
        <v>6</v>
      </c>
      <c r="N388" s="1">
        <v>10117</v>
      </c>
      <c r="O388" s="1">
        <v>197</v>
      </c>
      <c r="P388" s="2">
        <f>SUM(STREAMS_STATS[[#This Row],[In Spotify Playlists]],STREAMS_STATS[[#This Row],[In Apple Playlists]],STREAMS_STATS[[#This Row],[In Deezer Playlists]],STREAMS_STATS[[#This Row],[In YouTube Playlists]])</f>
        <v>32160</v>
      </c>
      <c r="Q388" s="1">
        <v>123</v>
      </c>
      <c r="R388" s="1">
        <v>-5</v>
      </c>
      <c r="S388" s="1" t="s">
        <v>68</v>
      </c>
      <c r="T388" s="1">
        <v>89</v>
      </c>
      <c r="U388" s="1">
        <v>76</v>
      </c>
      <c r="V388" s="1">
        <v>62</v>
      </c>
      <c r="W388" s="1">
        <v>78</v>
      </c>
      <c r="X388" s="1">
        <v>189</v>
      </c>
      <c r="Y388" s="5">
        <f>STREAMS_STATS[[#This Row],[Duration]]/60</f>
        <v>3.15</v>
      </c>
      <c r="Z388" s="1">
        <v>2</v>
      </c>
      <c r="AA388" s="1">
        <v>3</v>
      </c>
      <c r="AB388" s="1">
        <v>58</v>
      </c>
    </row>
    <row r="389" spans="1:28">
      <c r="A389" t="s">
        <v>628</v>
      </c>
      <c r="B389" s="1" t="s">
        <v>164</v>
      </c>
      <c r="C389" s="1" t="s">
        <v>67</v>
      </c>
      <c r="D389" s="1">
        <v>2017</v>
      </c>
      <c r="E389" s="3">
        <v>1056760045</v>
      </c>
      <c r="F389" s="3" t="str" cm="1">
        <f t="array" ref="F389">_xlfn.IFS(STREAMS_STATS[[#This Row],[Streams]] &gt;= 1000000000, "1B+", STREAMS_STATS[[#This Row],[Streams]] &gt;= 500000000, "500M–1B", STREAMS_STATS[[#This Row],[Streams]] &gt;= 250000000, "250M–500M", TRUE, "Under 250M")</f>
        <v>1B+</v>
      </c>
      <c r="G389" s="1">
        <v>9389</v>
      </c>
      <c r="H389" s="1">
        <v>76</v>
      </c>
      <c r="I389" s="1">
        <v>54</v>
      </c>
      <c r="J389" s="1">
        <v>39668</v>
      </c>
      <c r="K389" s="1">
        <v>19</v>
      </c>
      <c r="L389" s="1">
        <v>102</v>
      </c>
      <c r="M389" s="1">
        <v>40</v>
      </c>
      <c r="N389" s="1">
        <v>18950</v>
      </c>
      <c r="O389" s="1">
        <v>89</v>
      </c>
      <c r="P389" s="2">
        <f>SUM(STREAMS_STATS[[#This Row],[In Spotify Playlists]],STREAMS_STATS[[#This Row],[In Apple Playlists]],STREAMS_STATS[[#This Row],[In Deezer Playlists]],STREAMS_STATS[[#This Row],[In YouTube Playlists]])</f>
        <v>68109</v>
      </c>
      <c r="Q389" s="1">
        <v>73</v>
      </c>
      <c r="R389" s="1">
        <v>-7</v>
      </c>
      <c r="S389" s="1" t="s">
        <v>75</v>
      </c>
      <c r="T389" s="1">
        <v>39</v>
      </c>
      <c r="U389" s="1">
        <v>58</v>
      </c>
      <c r="V389" s="1">
        <v>11</v>
      </c>
      <c r="W389" s="1">
        <v>32</v>
      </c>
      <c r="X389" s="1">
        <v>230</v>
      </c>
      <c r="Y389" s="5">
        <f>STREAMS_STATS[[#This Row],[Duration]]/60</f>
        <v>3.8333333333333335</v>
      </c>
      <c r="Z389" s="1">
        <v>49</v>
      </c>
      <c r="AA389" s="1">
        <v>3</v>
      </c>
      <c r="AB389" s="1">
        <v>77</v>
      </c>
    </row>
    <row r="390" spans="1:28">
      <c r="A390" t="s">
        <v>629</v>
      </c>
      <c r="B390" s="1" t="s">
        <v>143</v>
      </c>
      <c r="C390" s="1" t="s">
        <v>144</v>
      </c>
      <c r="D390" s="1">
        <v>2011</v>
      </c>
      <c r="E390" s="3">
        <v>685032533</v>
      </c>
      <c r="F390" s="3" t="str" cm="1">
        <f t="array" ref="F39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90" s="1">
        <v>5897</v>
      </c>
      <c r="H390" s="1">
        <v>193</v>
      </c>
      <c r="I390" s="1">
        <v>191</v>
      </c>
      <c r="J390" s="1">
        <v>20663</v>
      </c>
      <c r="K390" s="1">
        <v>50</v>
      </c>
      <c r="L390" s="1">
        <v>6467</v>
      </c>
      <c r="M390" s="1">
        <v>150</v>
      </c>
      <c r="N390" s="1">
        <v>11380</v>
      </c>
      <c r="O390" s="1">
        <v>204</v>
      </c>
      <c r="P390" s="2">
        <f>SUM(STREAMS_STATS[[#This Row],[In Spotify Playlists]],STREAMS_STATS[[#This Row],[In Apple Playlists]],STREAMS_STATS[[#This Row],[In Deezer Playlists]],STREAMS_STATS[[#This Row],[In YouTube Playlists]])</f>
        <v>44407</v>
      </c>
      <c r="Q390" s="1">
        <v>175</v>
      </c>
      <c r="R390" s="1">
        <v>-4</v>
      </c>
      <c r="S390" s="1" t="s">
        <v>75</v>
      </c>
      <c r="T390" s="1">
        <v>83</v>
      </c>
      <c r="U390" s="1">
        <v>64</v>
      </c>
      <c r="V390" s="1">
        <v>27</v>
      </c>
      <c r="W390" s="1">
        <v>68</v>
      </c>
      <c r="X390" s="1">
        <v>223</v>
      </c>
      <c r="Y390" s="5">
        <f>STREAMS_STATS[[#This Row],[Duration]]/60</f>
        <v>3.7166666666666668</v>
      </c>
      <c r="Z390" s="1">
        <v>3</v>
      </c>
      <c r="AA390" s="1">
        <v>18</v>
      </c>
      <c r="AB390" s="1">
        <v>72</v>
      </c>
    </row>
    <row r="391" spans="1:28">
      <c r="A391" t="s">
        <v>630</v>
      </c>
      <c r="B391" s="1" t="s">
        <v>40</v>
      </c>
      <c r="C391" s="1" t="s">
        <v>67</v>
      </c>
      <c r="D391" s="1">
        <v>2014</v>
      </c>
      <c r="E391" s="3">
        <v>863625566</v>
      </c>
      <c r="F391" s="3" t="str" cm="1">
        <f t="array" ref="F39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91" s="1">
        <v>7758</v>
      </c>
      <c r="H391" s="1">
        <v>336</v>
      </c>
      <c r="I391" s="1">
        <v>113</v>
      </c>
      <c r="J391" s="1">
        <v>548</v>
      </c>
      <c r="K391" s="1">
        <v>113</v>
      </c>
      <c r="L391" s="1">
        <v>695</v>
      </c>
      <c r="M391" s="1">
        <v>10</v>
      </c>
      <c r="N391" s="1">
        <v>14092</v>
      </c>
      <c r="O391" s="1">
        <v>4</v>
      </c>
      <c r="P391" s="2">
        <f>SUM(STREAMS_STATS[[#This Row],[In Spotify Playlists]],STREAMS_STATS[[#This Row],[In Apple Playlists]],STREAMS_STATS[[#This Row],[In Deezer Playlists]],STREAMS_STATS[[#This Row],[In YouTube Playlists]])</f>
        <v>23093</v>
      </c>
      <c r="Q391" s="1">
        <v>103</v>
      </c>
      <c r="R391" s="1">
        <v>-5</v>
      </c>
      <c r="S391" s="1" t="s">
        <v>68</v>
      </c>
      <c r="T391" s="1">
        <v>81</v>
      </c>
      <c r="U391" s="1">
        <v>66</v>
      </c>
      <c r="V391" s="1">
        <v>16</v>
      </c>
      <c r="W391" s="1">
        <v>63</v>
      </c>
      <c r="X391" s="1">
        <v>194</v>
      </c>
      <c r="Y391" s="5">
        <f>STREAMS_STATS[[#This Row],[Duration]]/60</f>
        <v>3.2333333333333334</v>
      </c>
      <c r="Z391" s="1">
        <v>2</v>
      </c>
      <c r="AA391" s="1">
        <v>15</v>
      </c>
      <c r="AB391" s="1">
        <v>75</v>
      </c>
    </row>
    <row r="392" spans="1:28">
      <c r="A392" t="s">
        <v>631</v>
      </c>
      <c r="B392" s="1" t="s">
        <v>169</v>
      </c>
      <c r="C392" s="1" t="s">
        <v>67</v>
      </c>
      <c r="D392" s="1">
        <v>2011</v>
      </c>
      <c r="E392" s="3">
        <v>218320587</v>
      </c>
      <c r="F392" s="3" t="str" cm="1">
        <f t="array" ref="F39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392" s="1">
        <v>1517</v>
      </c>
      <c r="H392" s="1">
        <v>210</v>
      </c>
      <c r="I392" s="1">
        <v>216</v>
      </c>
      <c r="J392" s="1">
        <v>589</v>
      </c>
      <c r="K392" s="1">
        <v>65</v>
      </c>
      <c r="L392" s="1">
        <v>2895</v>
      </c>
      <c r="M392" s="1">
        <v>52</v>
      </c>
      <c r="N392" s="1">
        <v>24370</v>
      </c>
      <c r="O392" s="1">
        <v>229</v>
      </c>
      <c r="P392" s="2">
        <f>SUM(STREAMS_STATS[[#This Row],[In Spotify Playlists]],STREAMS_STATS[[#This Row],[In Apple Playlists]],STREAMS_STATS[[#This Row],[In Deezer Playlists]],STREAMS_STATS[[#This Row],[In YouTube Playlists]])</f>
        <v>29371</v>
      </c>
      <c r="Q392" s="1">
        <v>122</v>
      </c>
      <c r="R392" s="1">
        <v>-7</v>
      </c>
      <c r="S392" s="1" t="s">
        <v>68</v>
      </c>
      <c r="T392" s="1">
        <v>64</v>
      </c>
      <c r="U392" s="1">
        <v>68</v>
      </c>
      <c r="V392" s="1">
        <v>12</v>
      </c>
      <c r="W392" s="1">
        <v>56</v>
      </c>
      <c r="X392" s="1">
        <v>208</v>
      </c>
      <c r="Y392" s="5">
        <f>STREAMS_STATS[[#This Row],[Duration]]/60</f>
        <v>3.4666666666666668</v>
      </c>
      <c r="Z392" s="1">
        <v>0</v>
      </c>
      <c r="AA392" s="1">
        <v>12</v>
      </c>
      <c r="AB392" s="1">
        <v>38</v>
      </c>
    </row>
    <row r="393" spans="1:28">
      <c r="A393" t="s">
        <v>632</v>
      </c>
      <c r="B393" s="1" t="s">
        <v>633</v>
      </c>
      <c r="C393" s="1" t="s">
        <v>67</v>
      </c>
      <c r="D393" s="1">
        <v>2015</v>
      </c>
      <c r="E393" s="3">
        <v>720434240</v>
      </c>
      <c r="F393" s="3" t="str" cm="1">
        <f t="array" ref="F39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93" s="1">
        <v>6180</v>
      </c>
      <c r="H393" s="1">
        <v>427</v>
      </c>
      <c r="I393" s="1">
        <v>3</v>
      </c>
      <c r="J393" s="1">
        <v>36702</v>
      </c>
      <c r="K393" s="1">
        <v>3</v>
      </c>
      <c r="L393" s="1">
        <v>57</v>
      </c>
      <c r="M393" s="1">
        <v>50</v>
      </c>
      <c r="N393" s="1">
        <v>26024</v>
      </c>
      <c r="O393" s="1">
        <v>185</v>
      </c>
      <c r="P393" s="2">
        <f>SUM(STREAMS_STATS[[#This Row],[In Spotify Playlists]],STREAMS_STATS[[#This Row],[In Apple Playlists]],STREAMS_STATS[[#This Row],[In Deezer Playlists]],STREAMS_STATS[[#This Row],[In YouTube Playlists]])</f>
        <v>68963</v>
      </c>
      <c r="Q393" s="1">
        <v>121</v>
      </c>
      <c r="R393" s="1">
        <v>-7</v>
      </c>
      <c r="S393" s="1" t="s">
        <v>75</v>
      </c>
      <c r="T393" s="1">
        <v>59</v>
      </c>
      <c r="U393" s="1">
        <v>80</v>
      </c>
      <c r="V393" s="1">
        <v>19</v>
      </c>
      <c r="W393" s="1">
        <v>55</v>
      </c>
      <c r="X393" s="1">
        <v>228</v>
      </c>
      <c r="Y393" s="5">
        <f>STREAMS_STATS[[#This Row],[Duration]]/60</f>
        <v>3.8</v>
      </c>
      <c r="Z393" s="1">
        <v>16</v>
      </c>
      <c r="AA393" s="1">
        <v>4</v>
      </c>
      <c r="AB393" s="1">
        <v>73</v>
      </c>
    </row>
    <row r="394" spans="1:28">
      <c r="A394" t="s">
        <v>634</v>
      </c>
      <c r="B394" s="1" t="s">
        <v>635</v>
      </c>
      <c r="C394" s="1" t="s">
        <v>636</v>
      </c>
      <c r="D394" s="1">
        <v>2015</v>
      </c>
      <c r="E394" s="3">
        <v>317622165</v>
      </c>
      <c r="F394" s="3" t="str" cm="1">
        <f t="array" ref="F39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94" s="1">
        <v>2461</v>
      </c>
      <c r="H394" s="1">
        <v>298</v>
      </c>
      <c r="I394" s="1">
        <v>38</v>
      </c>
      <c r="J394" s="1">
        <v>34721</v>
      </c>
      <c r="K394" s="1">
        <v>38</v>
      </c>
      <c r="L394" s="1">
        <v>12</v>
      </c>
      <c r="M394" s="1">
        <v>31</v>
      </c>
      <c r="N394" s="1">
        <v>8272</v>
      </c>
      <c r="O394" s="1">
        <v>363</v>
      </c>
      <c r="P394" s="2">
        <f>SUM(STREAMS_STATS[[#This Row],[In Spotify Playlists]],STREAMS_STATS[[#This Row],[In Apple Playlists]],STREAMS_STATS[[#This Row],[In Deezer Playlists]],STREAMS_STATS[[#This Row],[In YouTube Playlists]])</f>
        <v>45466</v>
      </c>
      <c r="Q394" s="1">
        <v>122</v>
      </c>
      <c r="R394" s="1">
        <v>-8</v>
      </c>
      <c r="S394" s="1" t="s">
        <v>75</v>
      </c>
      <c r="T394" s="1">
        <v>70</v>
      </c>
      <c r="U394" s="1">
        <v>71</v>
      </c>
      <c r="V394" s="1">
        <v>7</v>
      </c>
      <c r="W394" s="1">
        <v>60</v>
      </c>
      <c r="X394" s="1">
        <v>159</v>
      </c>
      <c r="Y394" s="5">
        <f>STREAMS_STATS[[#This Row],[Duration]]/60</f>
        <v>2.65</v>
      </c>
      <c r="Z394" s="1">
        <v>2</v>
      </c>
      <c r="AA394" s="1">
        <v>3</v>
      </c>
      <c r="AB394" s="1">
        <v>61</v>
      </c>
    </row>
    <row r="395" spans="1:28">
      <c r="A395" t="s">
        <v>637</v>
      </c>
      <c r="B395" s="1" t="s">
        <v>635</v>
      </c>
      <c r="C395" s="1" t="s">
        <v>636</v>
      </c>
      <c r="D395" s="1">
        <v>2017</v>
      </c>
      <c r="E395" s="3">
        <v>301051721</v>
      </c>
      <c r="F395" s="3" t="str" cm="1">
        <f t="array" ref="F39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95" s="1">
        <v>2304</v>
      </c>
      <c r="H395" s="1">
        <v>191</v>
      </c>
      <c r="I395" s="1">
        <v>21</v>
      </c>
      <c r="J395" s="1">
        <v>2575</v>
      </c>
      <c r="K395" s="1">
        <v>21</v>
      </c>
      <c r="L395" s="1">
        <v>65</v>
      </c>
      <c r="M395" s="1">
        <v>43</v>
      </c>
      <c r="N395" s="1">
        <v>21430</v>
      </c>
      <c r="O395" s="1">
        <v>251</v>
      </c>
      <c r="P395" s="2">
        <f>SUM(STREAMS_STATS[[#This Row],[In Spotify Playlists]],STREAMS_STATS[[#This Row],[In Apple Playlists]],STREAMS_STATS[[#This Row],[In Deezer Playlists]],STREAMS_STATS[[#This Row],[In YouTube Playlists]])</f>
        <v>26374</v>
      </c>
      <c r="Q395" s="1">
        <v>122</v>
      </c>
      <c r="R395" s="1">
        <v>-7</v>
      </c>
      <c r="S395" s="1" t="s">
        <v>75</v>
      </c>
      <c r="T395" s="1">
        <v>64</v>
      </c>
      <c r="U395" s="1">
        <v>73</v>
      </c>
      <c r="V395" s="1">
        <v>8</v>
      </c>
      <c r="W395" s="1">
        <v>53</v>
      </c>
      <c r="X395" s="1">
        <v>158</v>
      </c>
      <c r="Y395" s="5">
        <f>STREAMS_STATS[[#This Row],[Duration]]/60</f>
        <v>2.6333333333333333</v>
      </c>
      <c r="Z395" s="1">
        <v>2</v>
      </c>
      <c r="AA395" s="1">
        <v>4</v>
      </c>
      <c r="AB395" s="1">
        <v>59</v>
      </c>
    </row>
    <row r="396" spans="1:28">
      <c r="A396" t="s">
        <v>638</v>
      </c>
      <c r="B396" s="1" t="s">
        <v>179</v>
      </c>
      <c r="C396" s="1" t="s">
        <v>67</v>
      </c>
      <c r="D396" s="1">
        <v>2015</v>
      </c>
      <c r="E396" s="3">
        <v>554875730</v>
      </c>
      <c r="F396" s="3" t="str" cm="1">
        <f t="array" ref="F39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96" s="1">
        <v>4526</v>
      </c>
      <c r="H396" s="1">
        <v>416</v>
      </c>
      <c r="I396" s="1">
        <v>5</v>
      </c>
      <c r="J396" s="1">
        <v>13786</v>
      </c>
      <c r="K396" s="1">
        <v>84</v>
      </c>
      <c r="L396" s="1">
        <v>10</v>
      </c>
      <c r="M396" s="1">
        <v>1</v>
      </c>
      <c r="N396" s="1">
        <v>24011</v>
      </c>
      <c r="O396" s="1">
        <v>388</v>
      </c>
      <c r="P396" s="2">
        <f>SUM(STREAMS_STATS[[#This Row],[In Spotify Playlists]],STREAMS_STATS[[#This Row],[In Apple Playlists]],STREAMS_STATS[[#This Row],[In Deezer Playlists]],STREAMS_STATS[[#This Row],[In YouTube Playlists]])</f>
        <v>42333</v>
      </c>
      <c r="Q396" s="1">
        <v>121</v>
      </c>
      <c r="R396" s="1">
        <v>-4</v>
      </c>
      <c r="S396" s="1" t="s">
        <v>68</v>
      </c>
      <c r="T396" s="1">
        <v>73</v>
      </c>
      <c r="U396" s="1">
        <v>71</v>
      </c>
      <c r="V396" s="1">
        <v>19</v>
      </c>
      <c r="W396" s="1">
        <v>85</v>
      </c>
      <c r="X396" s="1">
        <v>202</v>
      </c>
      <c r="Y396" s="5">
        <f>STREAMS_STATS[[#This Row],[Duration]]/60</f>
        <v>3.3666666666666667</v>
      </c>
      <c r="Z396" s="1">
        <v>12</v>
      </c>
      <c r="AA396" s="1">
        <v>9</v>
      </c>
      <c r="AB396" s="1">
        <v>70</v>
      </c>
    </row>
    <row r="397" spans="1:28">
      <c r="A397" t="s">
        <v>639</v>
      </c>
      <c r="B397" s="1" t="s">
        <v>640</v>
      </c>
      <c r="C397" s="1" t="s">
        <v>159</v>
      </c>
      <c r="D397" s="1">
        <v>2017</v>
      </c>
      <c r="E397" s="3">
        <v>588955257</v>
      </c>
      <c r="F397" s="3" t="str" cm="1">
        <f t="array" ref="F39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397" s="1">
        <v>4771</v>
      </c>
      <c r="H397" s="1">
        <v>441</v>
      </c>
      <c r="I397" s="1">
        <v>2</v>
      </c>
      <c r="J397" s="1">
        <v>23968</v>
      </c>
      <c r="K397" s="1">
        <v>2</v>
      </c>
      <c r="L397" s="1">
        <v>57</v>
      </c>
      <c r="M397" s="1">
        <v>11</v>
      </c>
      <c r="N397" s="1">
        <v>19348</v>
      </c>
      <c r="O397" s="1">
        <v>134</v>
      </c>
      <c r="P397" s="2">
        <f>SUM(STREAMS_STATS[[#This Row],[In Spotify Playlists]],STREAMS_STATS[[#This Row],[In Apple Playlists]],STREAMS_STATS[[#This Row],[In Deezer Playlists]],STREAMS_STATS[[#This Row],[In YouTube Playlists]])</f>
        <v>48144</v>
      </c>
      <c r="Q397" s="1">
        <v>94</v>
      </c>
      <c r="R397" s="1">
        <v>-3</v>
      </c>
      <c r="S397" s="1" t="s">
        <v>68</v>
      </c>
      <c r="T397" s="1">
        <v>91</v>
      </c>
      <c r="U397" s="1">
        <v>53</v>
      </c>
      <c r="V397" s="1">
        <v>10</v>
      </c>
      <c r="W397" s="1">
        <v>62</v>
      </c>
      <c r="X397" s="1">
        <v>189</v>
      </c>
      <c r="Y397" s="5">
        <f>STREAMS_STATS[[#This Row],[Duration]]/60</f>
        <v>3.15</v>
      </c>
      <c r="Z397" s="1">
        <v>15</v>
      </c>
      <c r="AA397" s="1">
        <v>9</v>
      </c>
      <c r="AB397" s="1">
        <v>71</v>
      </c>
    </row>
    <row r="398" spans="1:28">
      <c r="A398" t="s">
        <v>641</v>
      </c>
      <c r="B398" s="1" t="s">
        <v>229</v>
      </c>
      <c r="C398" s="1" t="s">
        <v>67</v>
      </c>
      <c r="D398" s="1">
        <v>2017</v>
      </c>
      <c r="E398" s="3">
        <v>258714692</v>
      </c>
      <c r="F398" s="3" t="str" cm="1">
        <f t="array" ref="F39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98" s="1">
        <v>1930</v>
      </c>
      <c r="H398" s="1">
        <v>210</v>
      </c>
      <c r="I398" s="1">
        <v>6</v>
      </c>
      <c r="J398" s="1">
        <v>24090</v>
      </c>
      <c r="K398" s="1">
        <v>6</v>
      </c>
      <c r="L398" s="1">
        <v>124</v>
      </c>
      <c r="M398" s="1">
        <v>1</v>
      </c>
      <c r="N398" s="1">
        <v>9288</v>
      </c>
      <c r="O398" s="1">
        <v>20</v>
      </c>
      <c r="P398" s="2">
        <f>SUM(STREAMS_STATS[[#This Row],[In Spotify Playlists]],STREAMS_STATS[[#This Row],[In Apple Playlists]],STREAMS_STATS[[#This Row],[In Deezer Playlists]],STREAMS_STATS[[#This Row],[In YouTube Playlists]])</f>
        <v>35432</v>
      </c>
      <c r="Q398" s="1">
        <v>113</v>
      </c>
      <c r="R398" s="1">
        <v>-6</v>
      </c>
      <c r="S398" s="1" t="s">
        <v>75</v>
      </c>
      <c r="T398" s="1">
        <v>53</v>
      </c>
      <c r="U398" s="1">
        <v>68</v>
      </c>
      <c r="V398" s="1">
        <v>4</v>
      </c>
      <c r="W398" s="1">
        <v>84</v>
      </c>
      <c r="X398" s="1">
        <v>202</v>
      </c>
      <c r="Y398" s="5">
        <f>STREAMS_STATS[[#This Row],[Duration]]/60</f>
        <v>3.3666666666666667</v>
      </c>
      <c r="Z398" s="1">
        <v>14</v>
      </c>
      <c r="AA398" s="1">
        <v>28</v>
      </c>
      <c r="AB398" s="1">
        <v>53</v>
      </c>
    </row>
    <row r="399" spans="1:28">
      <c r="A399" t="s">
        <v>642</v>
      </c>
      <c r="B399" s="1" t="s">
        <v>643</v>
      </c>
      <c r="C399" s="1" t="s">
        <v>105</v>
      </c>
      <c r="D399" s="1">
        <v>2017</v>
      </c>
      <c r="E399" s="3">
        <v>267758538</v>
      </c>
      <c r="F399" s="3" t="str" cm="1">
        <f t="array" ref="F39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399" s="1">
        <v>1986</v>
      </c>
      <c r="H399" s="1">
        <v>244</v>
      </c>
      <c r="I399" s="1">
        <v>36</v>
      </c>
      <c r="J399" s="1">
        <v>16624</v>
      </c>
      <c r="K399" s="1">
        <v>58</v>
      </c>
      <c r="L399" s="1">
        <v>22</v>
      </c>
      <c r="M399" s="1">
        <v>16</v>
      </c>
      <c r="N399" s="1">
        <v>24841</v>
      </c>
      <c r="O399" s="1">
        <v>292</v>
      </c>
      <c r="P399" s="2">
        <f>SUM(STREAMS_STATS[[#This Row],[In Spotify Playlists]],STREAMS_STATS[[#This Row],[In Apple Playlists]],STREAMS_STATS[[#This Row],[In Deezer Playlists]],STREAMS_STATS[[#This Row],[In YouTube Playlists]])</f>
        <v>43473</v>
      </c>
      <c r="Q399" s="1">
        <v>110</v>
      </c>
      <c r="R399" s="1">
        <v>-2</v>
      </c>
      <c r="S399" s="1" t="s">
        <v>68</v>
      </c>
      <c r="T399" s="1">
        <v>90</v>
      </c>
      <c r="U399" s="1">
        <v>74</v>
      </c>
      <c r="V399" s="1">
        <v>8</v>
      </c>
      <c r="W399" s="1">
        <v>65</v>
      </c>
      <c r="X399" s="1">
        <v>184</v>
      </c>
      <c r="Y399" s="5">
        <f>STREAMS_STATS[[#This Row],[Duration]]/60</f>
        <v>3.0666666666666669</v>
      </c>
      <c r="Z399" s="1">
        <v>7</v>
      </c>
      <c r="AA399" s="1">
        <v>5</v>
      </c>
      <c r="AB399" s="1">
        <v>55</v>
      </c>
    </row>
    <row r="400" spans="1:28">
      <c r="A400" t="s">
        <v>644</v>
      </c>
      <c r="B400" s="1" t="s">
        <v>112</v>
      </c>
      <c r="C400" s="1" t="s">
        <v>67</v>
      </c>
      <c r="D400" s="1">
        <v>2017</v>
      </c>
      <c r="E400" s="3">
        <v>540539717</v>
      </c>
      <c r="F400" s="3" t="str" cm="1">
        <f t="array" ref="F40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00" s="1">
        <v>4427</v>
      </c>
      <c r="H400" s="1">
        <v>289</v>
      </c>
      <c r="I400" s="1">
        <v>155</v>
      </c>
      <c r="J400" s="1">
        <v>7934</v>
      </c>
      <c r="K400" s="1">
        <v>155</v>
      </c>
      <c r="L400" s="2">
        <v>2854</v>
      </c>
      <c r="M400" s="1">
        <v>6</v>
      </c>
      <c r="N400" s="1">
        <v>14678</v>
      </c>
      <c r="O400" s="1">
        <v>387</v>
      </c>
      <c r="P400" s="2">
        <f>SUM(STREAMS_STATS[[#This Row],[In Spotify Playlists]],STREAMS_STATS[[#This Row],[In Apple Playlists]],STREAMS_STATS[[#This Row],[In Deezer Playlists]],STREAMS_STATS[[#This Row],[In YouTube Playlists]])</f>
        <v>29893</v>
      </c>
      <c r="Q400" s="1">
        <v>105</v>
      </c>
      <c r="R400" s="1">
        <v>-4</v>
      </c>
      <c r="S400" s="1" t="s">
        <v>68</v>
      </c>
      <c r="T400" s="1">
        <v>87</v>
      </c>
      <c r="U400" s="1">
        <v>40</v>
      </c>
      <c r="V400" s="1">
        <v>36</v>
      </c>
      <c r="W400" s="1">
        <v>47</v>
      </c>
      <c r="X400" s="1">
        <v>201</v>
      </c>
      <c r="Y400" s="5">
        <f>STREAMS_STATS[[#This Row],[Duration]]/60</f>
        <v>3.35</v>
      </c>
      <c r="Z400" s="1">
        <v>17</v>
      </c>
      <c r="AA400" s="1">
        <v>31</v>
      </c>
      <c r="AB400" s="1">
        <v>70</v>
      </c>
    </row>
    <row r="401" spans="1:28">
      <c r="A401" t="s">
        <v>645</v>
      </c>
      <c r="B401" s="1" t="s">
        <v>39</v>
      </c>
      <c r="C401" s="1" t="s">
        <v>115</v>
      </c>
      <c r="D401" s="1">
        <v>2013</v>
      </c>
      <c r="E401" s="3">
        <v>223582566</v>
      </c>
      <c r="F401" s="3" t="str" cm="1">
        <f t="array" ref="F401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01" s="1">
        <v>1560</v>
      </c>
      <c r="H401" s="1">
        <v>448</v>
      </c>
      <c r="I401" s="1">
        <v>51</v>
      </c>
      <c r="J401" s="1">
        <v>25584</v>
      </c>
      <c r="K401" s="1">
        <v>24</v>
      </c>
      <c r="L401" s="1">
        <v>9518</v>
      </c>
      <c r="M401" s="1">
        <v>11</v>
      </c>
      <c r="N401" s="1">
        <v>38741</v>
      </c>
      <c r="O401" s="1">
        <v>24</v>
      </c>
      <c r="P401" s="2">
        <f>SUM(STREAMS_STATS[[#This Row],[In Spotify Playlists]],STREAMS_STATS[[#This Row],[In Apple Playlists]],STREAMS_STATS[[#This Row],[In Deezer Playlists]],STREAMS_STATS[[#This Row],[In YouTube Playlists]])</f>
        <v>75403</v>
      </c>
      <c r="Q401" s="1">
        <v>130</v>
      </c>
      <c r="R401" s="1">
        <v>-6</v>
      </c>
      <c r="S401" s="1" t="s">
        <v>75</v>
      </c>
      <c r="T401" s="1">
        <v>74</v>
      </c>
      <c r="U401" s="1">
        <v>53</v>
      </c>
      <c r="V401" s="1">
        <v>24</v>
      </c>
      <c r="W401" s="1">
        <v>45</v>
      </c>
      <c r="X401" s="1">
        <v>186</v>
      </c>
      <c r="Y401" s="5">
        <f>STREAMS_STATS[[#This Row],[Duration]]/60</f>
        <v>3.1</v>
      </c>
      <c r="Z401" s="1">
        <v>0</v>
      </c>
      <c r="AA401" s="1">
        <v>4</v>
      </c>
      <c r="AB401" s="1">
        <v>42</v>
      </c>
    </row>
    <row r="402" spans="1:28">
      <c r="A402" t="s">
        <v>646</v>
      </c>
      <c r="B402" s="1" t="s">
        <v>162</v>
      </c>
      <c r="C402" s="1" t="s">
        <v>67</v>
      </c>
      <c r="D402" s="1">
        <v>2016</v>
      </c>
      <c r="E402" s="3">
        <v>403939487</v>
      </c>
      <c r="F402" s="3" t="str" cm="1">
        <f t="array" ref="F40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02" s="1">
        <v>3133</v>
      </c>
      <c r="H402" s="1">
        <v>263</v>
      </c>
      <c r="I402" s="1">
        <v>41</v>
      </c>
      <c r="J402" s="1">
        <v>27038</v>
      </c>
      <c r="K402" s="1">
        <v>81</v>
      </c>
      <c r="L402" s="1">
        <v>4</v>
      </c>
      <c r="M402" s="1">
        <v>22</v>
      </c>
      <c r="N402" s="1">
        <v>18559</v>
      </c>
      <c r="O402" s="1">
        <v>111</v>
      </c>
      <c r="P402" s="2">
        <f>SUM(STREAMS_STATS[[#This Row],[In Spotify Playlists]],STREAMS_STATS[[#This Row],[In Apple Playlists]],STREAMS_STATS[[#This Row],[In Deezer Playlists]],STREAMS_STATS[[#This Row],[In YouTube Playlists]])</f>
        <v>48734</v>
      </c>
      <c r="Q402" s="1">
        <v>101</v>
      </c>
      <c r="R402" s="1">
        <v>-6</v>
      </c>
      <c r="S402" s="1" t="s">
        <v>75</v>
      </c>
      <c r="T402" s="1">
        <v>64</v>
      </c>
      <c r="U402" s="1">
        <v>55</v>
      </c>
      <c r="V402" s="1">
        <v>11</v>
      </c>
      <c r="W402" s="1">
        <v>44</v>
      </c>
      <c r="X402" s="1">
        <v>203</v>
      </c>
      <c r="Y402" s="5">
        <f>STREAMS_STATS[[#This Row],[Duration]]/60</f>
        <v>3.3833333333333333</v>
      </c>
      <c r="Z402" s="1">
        <v>5</v>
      </c>
      <c r="AA402" s="1">
        <v>5</v>
      </c>
      <c r="AB402" s="1">
        <v>66</v>
      </c>
    </row>
    <row r="403" spans="1:28">
      <c r="A403" t="s">
        <v>647</v>
      </c>
      <c r="B403" s="1" t="s">
        <v>162</v>
      </c>
      <c r="C403" s="1" t="s">
        <v>67</v>
      </c>
      <c r="D403" s="1">
        <v>2013</v>
      </c>
      <c r="E403" s="3">
        <v>1260594497</v>
      </c>
      <c r="F403" s="3" t="str" cm="1">
        <f t="array" ref="F403">_xlfn.IFS(STREAMS_STATS[[#This Row],[Streams]] &gt;= 1000000000, "1B+", STREAMS_STATS[[#This Row],[Streams]] &gt;= 500000000, "500M–1B", STREAMS_STATS[[#This Row],[Streams]] &gt;= 250000000, "250M–500M", TRUE, "Under 250M")</f>
        <v>1B+</v>
      </c>
      <c r="G403" s="1">
        <v>12859</v>
      </c>
      <c r="H403" s="1">
        <v>60</v>
      </c>
      <c r="I403" s="1">
        <v>21</v>
      </c>
      <c r="J403" s="1">
        <v>38884</v>
      </c>
      <c r="K403" s="1">
        <v>21</v>
      </c>
      <c r="L403" s="1">
        <v>31</v>
      </c>
      <c r="M403" s="1">
        <v>11</v>
      </c>
      <c r="N403" s="1">
        <v>10736</v>
      </c>
      <c r="O403" s="1">
        <v>356</v>
      </c>
      <c r="P403" s="2">
        <f>SUM(STREAMS_STATS[[#This Row],[In Spotify Playlists]],STREAMS_STATS[[#This Row],[In Apple Playlists]],STREAMS_STATS[[#This Row],[In Deezer Playlists]],STREAMS_STATS[[#This Row],[In YouTube Playlists]])</f>
        <v>62510</v>
      </c>
      <c r="Q403" s="1">
        <v>180</v>
      </c>
      <c r="R403" s="1">
        <v>-5</v>
      </c>
      <c r="S403" s="1" t="s">
        <v>75</v>
      </c>
      <c r="T403" s="1">
        <v>77</v>
      </c>
      <c r="U403" s="1">
        <v>55</v>
      </c>
      <c r="V403" s="1">
        <v>35</v>
      </c>
      <c r="W403" s="1">
        <v>46</v>
      </c>
      <c r="X403" s="1">
        <v>224</v>
      </c>
      <c r="Y403" s="5">
        <f>STREAMS_STATS[[#This Row],[Duration]]/60</f>
        <v>3.7333333333333334</v>
      </c>
      <c r="Z403" s="1">
        <v>0</v>
      </c>
      <c r="AA403" s="1">
        <v>4</v>
      </c>
      <c r="AB403" s="1">
        <v>78</v>
      </c>
    </row>
    <row r="404" spans="1:28">
      <c r="A404" t="s">
        <v>648</v>
      </c>
      <c r="B404" s="1" t="s">
        <v>649</v>
      </c>
      <c r="C404" s="1" t="s">
        <v>134</v>
      </c>
      <c r="D404" s="1">
        <v>2013</v>
      </c>
      <c r="E404" s="3">
        <v>323358833</v>
      </c>
      <c r="F404" s="3" t="str" cm="1">
        <f t="array" ref="F40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04" s="1">
        <v>2520</v>
      </c>
      <c r="H404" s="1">
        <v>283</v>
      </c>
      <c r="I404" s="1">
        <v>66</v>
      </c>
      <c r="J404" s="1">
        <v>34378</v>
      </c>
      <c r="K404" s="1">
        <v>66</v>
      </c>
      <c r="L404" s="1">
        <v>10</v>
      </c>
      <c r="M404" s="1">
        <v>23</v>
      </c>
      <c r="N404" s="1">
        <v>1479</v>
      </c>
      <c r="O404" s="1">
        <v>293</v>
      </c>
      <c r="P404" s="2">
        <f>SUM(STREAMS_STATS[[#This Row],[In Spotify Playlists]],STREAMS_STATS[[#This Row],[In Apple Playlists]],STREAMS_STATS[[#This Row],[In Deezer Playlists]],STREAMS_STATS[[#This Row],[In YouTube Playlists]])</f>
        <v>38387</v>
      </c>
      <c r="Q404" s="1">
        <v>184</v>
      </c>
      <c r="R404" s="1">
        <v>-3</v>
      </c>
      <c r="S404" s="1" t="s">
        <v>68</v>
      </c>
      <c r="T404" s="1">
        <v>96</v>
      </c>
      <c r="U404" s="1">
        <v>47</v>
      </c>
      <c r="V404" s="1">
        <v>34</v>
      </c>
      <c r="W404" s="1">
        <v>67</v>
      </c>
      <c r="X404" s="1">
        <v>207</v>
      </c>
      <c r="Y404" s="5">
        <f>STREAMS_STATS[[#This Row],[Duration]]/60</f>
        <v>3.45</v>
      </c>
      <c r="Z404" s="1">
        <v>1</v>
      </c>
      <c r="AA404" s="1">
        <v>13</v>
      </c>
      <c r="AB404" s="1">
        <v>61</v>
      </c>
    </row>
    <row r="405" spans="1:28">
      <c r="A405" t="s">
        <v>650</v>
      </c>
      <c r="B405" s="1" t="s">
        <v>437</v>
      </c>
      <c r="C405" s="1" t="s">
        <v>67</v>
      </c>
      <c r="D405" s="1">
        <v>2010</v>
      </c>
      <c r="E405" s="3">
        <v>304079786</v>
      </c>
      <c r="F405" s="3" t="str" cm="1">
        <f t="array" ref="F40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05" s="1">
        <v>2341</v>
      </c>
      <c r="H405" s="1">
        <v>328</v>
      </c>
      <c r="I405" s="1">
        <v>360</v>
      </c>
      <c r="J405" s="1">
        <v>24418</v>
      </c>
      <c r="K405" s="1">
        <v>90</v>
      </c>
      <c r="L405" s="1">
        <v>5378</v>
      </c>
      <c r="M405" s="1">
        <v>194</v>
      </c>
      <c r="N405" s="1">
        <v>11650</v>
      </c>
      <c r="O405" s="1">
        <v>63</v>
      </c>
      <c r="P405" s="2">
        <f>SUM(STREAMS_STATS[[#This Row],[In Spotify Playlists]],STREAMS_STATS[[#This Row],[In Apple Playlists]],STREAMS_STATS[[#This Row],[In Deezer Playlists]],STREAMS_STATS[[#This Row],[In YouTube Playlists]])</f>
        <v>43787</v>
      </c>
      <c r="Q405" s="1">
        <v>125</v>
      </c>
      <c r="R405" s="1">
        <v>-6</v>
      </c>
      <c r="S405" s="1" t="s">
        <v>68</v>
      </c>
      <c r="T405" s="1">
        <v>91</v>
      </c>
      <c r="U405" s="1">
        <v>72</v>
      </c>
      <c r="V405" s="1">
        <v>43</v>
      </c>
      <c r="W405" s="1">
        <v>84</v>
      </c>
      <c r="X405" s="1">
        <v>269</v>
      </c>
      <c r="Y405" s="5">
        <f>STREAMS_STATS[[#This Row],[Duration]]/60</f>
        <v>4.4833333333333334</v>
      </c>
      <c r="Z405" s="1">
        <v>2</v>
      </c>
      <c r="AA405" s="1">
        <v>10</v>
      </c>
      <c r="AB405" s="1">
        <v>59</v>
      </c>
    </row>
    <row r="406" spans="1:28">
      <c r="A406" t="s">
        <v>651</v>
      </c>
      <c r="B406" s="1" t="s">
        <v>633</v>
      </c>
      <c r="C406" s="1" t="s">
        <v>67</v>
      </c>
      <c r="D406" s="1">
        <v>2017</v>
      </c>
      <c r="E406" s="3">
        <v>1180896317</v>
      </c>
      <c r="F406" s="3" t="str" cm="1">
        <f t="array" ref="F406">_xlfn.IFS(STREAMS_STATS[[#This Row],[Streams]] &gt;= 1000000000, "1B+", STREAMS_STATS[[#This Row],[Streams]] &gt;= 500000000, "500M–1B", STREAMS_STATS[[#This Row],[Streams]] &gt;= 250000000, "250M–500M", TRUE, "Under 250M")</f>
        <v>1B+</v>
      </c>
      <c r="G406" s="1">
        <v>11434</v>
      </c>
      <c r="H406" s="1">
        <v>73</v>
      </c>
      <c r="I406" s="1">
        <v>6</v>
      </c>
      <c r="J406" s="1">
        <v>19321</v>
      </c>
      <c r="K406" s="1">
        <v>6</v>
      </c>
      <c r="L406" s="1">
        <v>85</v>
      </c>
      <c r="M406" s="1">
        <v>1</v>
      </c>
      <c r="N406" s="1">
        <v>2913</v>
      </c>
      <c r="O406" s="1">
        <v>45</v>
      </c>
      <c r="P406" s="2">
        <f>SUM(STREAMS_STATS[[#This Row],[In Spotify Playlists]],STREAMS_STATS[[#This Row],[In Apple Playlists]],STREAMS_STATS[[#This Row],[In Deezer Playlists]],STREAMS_STATS[[#This Row],[In YouTube Playlists]])</f>
        <v>33753</v>
      </c>
      <c r="Q406" s="1">
        <v>102</v>
      </c>
      <c r="R406" s="1">
        <v>-4</v>
      </c>
      <c r="S406" s="1" t="s">
        <v>68</v>
      </c>
      <c r="T406" s="1">
        <v>76</v>
      </c>
      <c r="U406" s="1">
        <v>72</v>
      </c>
      <c r="V406" s="1">
        <v>18</v>
      </c>
      <c r="W406" s="1">
        <v>74</v>
      </c>
      <c r="X406" s="1">
        <v>251</v>
      </c>
      <c r="Y406" s="5">
        <f>STREAMS_STATS[[#This Row],[Duration]]/60</f>
        <v>4.1833333333333336</v>
      </c>
      <c r="Z406" s="1">
        <v>41</v>
      </c>
      <c r="AA406" s="1">
        <v>5</v>
      </c>
      <c r="AB406" s="1">
        <v>78</v>
      </c>
    </row>
    <row r="407" spans="1:28">
      <c r="A407" t="s">
        <v>652</v>
      </c>
      <c r="B407" s="1" t="s">
        <v>36</v>
      </c>
      <c r="C407" s="1" t="s">
        <v>107</v>
      </c>
      <c r="D407" s="1">
        <v>2011</v>
      </c>
      <c r="E407" s="3">
        <v>1024858327</v>
      </c>
      <c r="F407" s="3" t="str" cm="1">
        <f t="array" ref="F407">_xlfn.IFS(STREAMS_STATS[[#This Row],[Streams]] &gt;= 1000000000, "1B+", STREAMS_STATS[[#This Row],[Streams]] &gt;= 500000000, "500M–1B", STREAMS_STATS[[#This Row],[Streams]] &gt;= 250000000, "250M–500M", TRUE, "Under 250M")</f>
        <v>1B+</v>
      </c>
      <c r="G407" s="1">
        <v>9122</v>
      </c>
      <c r="H407" s="1">
        <v>62</v>
      </c>
      <c r="I407" s="1">
        <v>495</v>
      </c>
      <c r="J407" s="1">
        <v>1155</v>
      </c>
      <c r="K407" s="1">
        <v>87</v>
      </c>
      <c r="L407" s="1">
        <v>9108</v>
      </c>
      <c r="M407" s="1">
        <v>132</v>
      </c>
      <c r="N407" s="1">
        <v>2281</v>
      </c>
      <c r="O407" s="1">
        <v>4</v>
      </c>
      <c r="P407" s="2">
        <f>SUM(STREAMS_STATS[[#This Row],[In Spotify Playlists]],STREAMS_STATS[[#This Row],[In Apple Playlists]],STREAMS_STATS[[#This Row],[In Deezer Playlists]],STREAMS_STATS[[#This Row],[In YouTube Playlists]])</f>
        <v>21666</v>
      </c>
      <c r="Q407" s="1">
        <v>105</v>
      </c>
      <c r="R407" s="1">
        <v>-5</v>
      </c>
      <c r="S407" s="1" t="s">
        <v>75</v>
      </c>
      <c r="T407" s="1">
        <v>76</v>
      </c>
      <c r="U407" s="1">
        <v>73</v>
      </c>
      <c r="V407" s="1">
        <v>5</v>
      </c>
      <c r="W407" s="1">
        <v>52</v>
      </c>
      <c r="X407" s="1">
        <v>228</v>
      </c>
      <c r="Y407" s="5">
        <f>STREAMS_STATS[[#This Row],[Duration]]/60</f>
        <v>3.8</v>
      </c>
      <c r="Z407" s="1">
        <v>13</v>
      </c>
      <c r="AA407" s="1">
        <v>3</v>
      </c>
      <c r="AB407" s="1">
        <v>76</v>
      </c>
    </row>
    <row r="408" spans="1:28">
      <c r="A408" t="s">
        <v>653</v>
      </c>
      <c r="B408" s="1" t="s">
        <v>35</v>
      </c>
      <c r="C408" s="1" t="s">
        <v>24</v>
      </c>
      <c r="D408" s="1">
        <v>2016</v>
      </c>
      <c r="E408" s="3">
        <v>797196073</v>
      </c>
      <c r="F408" s="3" t="str" cm="1">
        <f t="array" ref="F40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08" s="1">
        <v>6890</v>
      </c>
      <c r="H408" s="1">
        <v>304</v>
      </c>
      <c r="I408" s="1">
        <v>41</v>
      </c>
      <c r="J408" s="1">
        <v>12200</v>
      </c>
      <c r="K408" s="1">
        <v>41</v>
      </c>
      <c r="L408" s="1">
        <v>114</v>
      </c>
      <c r="M408" s="1">
        <v>1</v>
      </c>
      <c r="N408" s="1">
        <v>36748</v>
      </c>
      <c r="O408" s="1">
        <v>312</v>
      </c>
      <c r="P408" s="2">
        <f>SUM(STREAMS_STATS[[#This Row],[In Spotify Playlists]],STREAMS_STATS[[#This Row],[In Apple Playlists]],STREAMS_STATS[[#This Row],[In Deezer Playlists]],STREAMS_STATS[[#This Row],[In YouTube Playlists]])</f>
        <v>55952</v>
      </c>
      <c r="Q408" s="1">
        <v>100</v>
      </c>
      <c r="R408" s="1">
        <v>-7</v>
      </c>
      <c r="S408" s="1" t="s">
        <v>68</v>
      </c>
      <c r="T408" s="1">
        <v>80</v>
      </c>
      <c r="U408" s="1">
        <v>71</v>
      </c>
      <c r="V408" s="1">
        <v>31</v>
      </c>
      <c r="W408" s="1">
        <v>34</v>
      </c>
      <c r="X408" s="1">
        <v>227</v>
      </c>
      <c r="Y408" s="5">
        <f>STREAMS_STATS[[#This Row],[Duration]]/60</f>
        <v>3.7833333333333332</v>
      </c>
      <c r="Z408" s="1">
        <v>4</v>
      </c>
      <c r="AA408" s="1">
        <v>6</v>
      </c>
      <c r="AB408" s="1">
        <v>74</v>
      </c>
    </row>
    <row r="409" spans="1:28">
      <c r="A409" t="s">
        <v>654</v>
      </c>
      <c r="B409" s="1" t="s">
        <v>655</v>
      </c>
      <c r="C409" s="1" t="s">
        <v>25</v>
      </c>
      <c r="D409" s="1">
        <v>2014</v>
      </c>
      <c r="E409" s="3">
        <v>1355959075</v>
      </c>
      <c r="F409" s="3" t="str" cm="1">
        <f t="array" ref="F409">_xlfn.IFS(STREAMS_STATS[[#This Row],[Streams]] &gt;= 1000000000, "1B+", STREAMS_STATS[[#This Row],[Streams]] &gt;= 500000000, "500M–1B", STREAMS_STATS[[#This Row],[Streams]] &gt;= 250000000, "250M–500M", TRUE, "Under 250M")</f>
        <v>1B+</v>
      </c>
      <c r="G409" s="1">
        <v>14311</v>
      </c>
      <c r="H409" s="1">
        <v>50</v>
      </c>
      <c r="I409" s="1">
        <v>11</v>
      </c>
      <c r="J409" s="1">
        <v>34614</v>
      </c>
      <c r="K409" s="1">
        <v>47</v>
      </c>
      <c r="L409" s="1">
        <v>52</v>
      </c>
      <c r="M409" s="1">
        <v>20</v>
      </c>
      <c r="N409" s="1">
        <v>19241</v>
      </c>
      <c r="O409" s="1">
        <v>44</v>
      </c>
      <c r="P409" s="2">
        <f>SUM(STREAMS_STATS[[#This Row],[In Spotify Playlists]],STREAMS_STATS[[#This Row],[In Apple Playlists]],STREAMS_STATS[[#This Row],[In Deezer Playlists]],STREAMS_STATS[[#This Row],[In YouTube Playlists]])</f>
        <v>68218</v>
      </c>
      <c r="Q409" s="1">
        <v>144</v>
      </c>
      <c r="R409" s="1">
        <v>-5</v>
      </c>
      <c r="S409" s="1" t="s">
        <v>68</v>
      </c>
      <c r="T409" s="1">
        <v>76</v>
      </c>
      <c r="U409" s="1">
        <v>77</v>
      </c>
      <c r="V409" s="1">
        <v>31</v>
      </c>
      <c r="W409" s="1">
        <v>93</v>
      </c>
      <c r="X409" s="1">
        <v>225</v>
      </c>
      <c r="Y409" s="5">
        <f>STREAMS_STATS[[#This Row],[Duration]]/60</f>
        <v>3.75</v>
      </c>
      <c r="Z409" s="1">
        <v>4</v>
      </c>
      <c r="AA409" s="1">
        <v>4</v>
      </c>
      <c r="AB409" s="1">
        <v>85</v>
      </c>
    </row>
    <row r="410" spans="1:28">
      <c r="A410" t="s">
        <v>656</v>
      </c>
      <c r="B410" s="1" t="s">
        <v>206</v>
      </c>
      <c r="C410" s="1" t="s">
        <v>134</v>
      </c>
      <c r="D410" s="1">
        <v>2016</v>
      </c>
      <c r="E410" s="3">
        <v>342897938</v>
      </c>
      <c r="F410" s="3" t="str" cm="1">
        <f t="array" ref="F41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10" s="1">
        <v>2636</v>
      </c>
      <c r="H410" s="1">
        <v>233</v>
      </c>
      <c r="I410" s="1">
        <v>1</v>
      </c>
      <c r="J410" s="1">
        <v>21954</v>
      </c>
      <c r="K410" s="1">
        <v>1</v>
      </c>
      <c r="L410" s="1">
        <v>15</v>
      </c>
      <c r="M410" s="1">
        <v>11</v>
      </c>
      <c r="N410" s="1">
        <v>26860</v>
      </c>
      <c r="O410" s="1">
        <v>107</v>
      </c>
      <c r="P410" s="2">
        <f>SUM(STREAMS_STATS[[#This Row],[In Spotify Playlists]],STREAMS_STATS[[#This Row],[In Apple Playlists]],STREAMS_STATS[[#This Row],[In Deezer Playlists]],STREAMS_STATS[[#This Row],[In YouTube Playlists]])</f>
        <v>51465</v>
      </c>
      <c r="Q410" s="1">
        <v>119</v>
      </c>
      <c r="R410" s="1">
        <v>-6</v>
      </c>
      <c r="S410" s="1" t="s">
        <v>68</v>
      </c>
      <c r="T410" s="1">
        <v>72</v>
      </c>
      <c r="U410" s="1">
        <v>56</v>
      </c>
      <c r="V410" s="1">
        <v>5</v>
      </c>
      <c r="W410" s="1">
        <v>25</v>
      </c>
      <c r="X410" s="1">
        <v>251</v>
      </c>
      <c r="Y410" s="5">
        <f>STREAMS_STATS[[#This Row],[Duration]]/60</f>
        <v>4.1833333333333336</v>
      </c>
      <c r="Z410" s="1">
        <v>1</v>
      </c>
      <c r="AA410" s="1">
        <v>5</v>
      </c>
      <c r="AB410" s="1">
        <v>63</v>
      </c>
    </row>
    <row r="411" spans="1:28">
      <c r="A411" t="s">
        <v>657</v>
      </c>
      <c r="B411" s="1" t="s">
        <v>384</v>
      </c>
      <c r="C411" s="1" t="s">
        <v>67</v>
      </c>
      <c r="D411" s="1">
        <v>2015</v>
      </c>
      <c r="E411" s="3">
        <v>212109195</v>
      </c>
      <c r="F411" s="3" t="str" cm="1">
        <f t="array" ref="F411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11" s="1">
        <v>1484</v>
      </c>
      <c r="H411" s="1">
        <v>285</v>
      </c>
      <c r="I411" s="1">
        <v>65</v>
      </c>
      <c r="J411" s="1">
        <v>34127</v>
      </c>
      <c r="K411" s="1">
        <v>65</v>
      </c>
      <c r="L411" s="1">
        <v>28</v>
      </c>
      <c r="M411" s="1">
        <v>5</v>
      </c>
      <c r="N411" s="1">
        <v>10282</v>
      </c>
      <c r="O411" s="1">
        <v>77</v>
      </c>
      <c r="P411" s="2">
        <f>SUM(STREAMS_STATS[[#This Row],[In Spotify Playlists]],STREAMS_STATS[[#This Row],[In Apple Playlists]],STREAMS_STATS[[#This Row],[In Deezer Playlists]],STREAMS_STATS[[#This Row],[In YouTube Playlists]])</f>
        <v>45921</v>
      </c>
      <c r="Q411" s="1">
        <v>112</v>
      </c>
      <c r="R411" s="1">
        <v>-7</v>
      </c>
      <c r="S411" s="1" t="s">
        <v>75</v>
      </c>
      <c r="T411" s="1">
        <v>37</v>
      </c>
      <c r="U411" s="1">
        <v>28</v>
      </c>
      <c r="V411" s="1">
        <v>11</v>
      </c>
      <c r="W411" s="1">
        <v>8</v>
      </c>
      <c r="X411" s="1">
        <v>273</v>
      </c>
      <c r="Y411" s="5">
        <f>STREAMS_STATS[[#This Row],[Duration]]/60</f>
        <v>4.55</v>
      </c>
      <c r="Z411" s="1">
        <v>45</v>
      </c>
      <c r="AA411" s="1">
        <v>4</v>
      </c>
      <c r="AB411" s="1">
        <v>36</v>
      </c>
    </row>
    <row r="412" spans="1:28">
      <c r="A412" t="s">
        <v>658</v>
      </c>
      <c r="B412" s="1" t="s">
        <v>69</v>
      </c>
      <c r="C412" s="1" t="s">
        <v>67</v>
      </c>
      <c r="D412" s="1">
        <v>2011</v>
      </c>
      <c r="E412" s="3">
        <v>1023187129</v>
      </c>
      <c r="F412" s="3" t="str" cm="1">
        <f t="array" ref="F412">_xlfn.IFS(STREAMS_STATS[[#This Row],[Streams]] &gt;= 1000000000, "1B+", STREAMS_STATS[[#This Row],[Streams]] &gt;= 500000000, "500M–1B", STREAMS_STATS[[#This Row],[Streams]] &gt;= 250000000, "250M–500M", TRUE, "Under 250M")</f>
        <v>1B+</v>
      </c>
      <c r="G412" s="1">
        <v>9082</v>
      </c>
      <c r="H412" s="1">
        <v>61</v>
      </c>
      <c r="I412" s="1">
        <v>128</v>
      </c>
      <c r="J412" s="1">
        <v>34087</v>
      </c>
      <c r="K412" s="1">
        <v>53</v>
      </c>
      <c r="L412" s="1">
        <v>6599</v>
      </c>
      <c r="M412" s="1">
        <v>133</v>
      </c>
      <c r="N412" s="1">
        <v>31470</v>
      </c>
      <c r="O412" s="1">
        <v>333</v>
      </c>
      <c r="P412" s="2">
        <f>SUM(STREAMS_STATS[[#This Row],[In Spotify Playlists]],STREAMS_STATS[[#This Row],[In Apple Playlists]],STREAMS_STATS[[#This Row],[In Deezer Playlists]],STREAMS_STATS[[#This Row],[In YouTube Playlists]])</f>
        <v>81238</v>
      </c>
      <c r="Q412" s="1">
        <v>127</v>
      </c>
      <c r="R412" s="1">
        <v>-4</v>
      </c>
      <c r="S412" s="1" t="s">
        <v>75</v>
      </c>
      <c r="T412" s="1">
        <v>90</v>
      </c>
      <c r="U412" s="1">
        <v>73</v>
      </c>
      <c r="V412" s="1">
        <v>37</v>
      </c>
      <c r="W412" s="1">
        <v>76</v>
      </c>
      <c r="X412" s="1">
        <v>236</v>
      </c>
      <c r="Y412" s="5">
        <f>STREAMS_STATS[[#This Row],[Duration]]/60</f>
        <v>3.9333333333333331</v>
      </c>
      <c r="Z412" s="1">
        <v>0</v>
      </c>
      <c r="AA412" s="1">
        <v>14</v>
      </c>
      <c r="AB412" s="1">
        <v>76</v>
      </c>
    </row>
    <row r="413" spans="1:28">
      <c r="A413" t="s">
        <v>659</v>
      </c>
      <c r="B413" s="1" t="s">
        <v>660</v>
      </c>
      <c r="C413" s="1" t="s">
        <v>661</v>
      </c>
      <c r="D413" s="1">
        <v>2015</v>
      </c>
      <c r="E413" s="3">
        <v>499710590</v>
      </c>
      <c r="F413" s="3" t="str" cm="1">
        <f t="array" ref="F41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13" s="1">
        <v>4049</v>
      </c>
      <c r="H413" s="1">
        <v>137</v>
      </c>
      <c r="I413" s="1">
        <v>14</v>
      </c>
      <c r="J413" s="1">
        <v>8165</v>
      </c>
      <c r="K413" s="1">
        <v>69</v>
      </c>
      <c r="L413" s="1">
        <v>18</v>
      </c>
      <c r="M413" s="1">
        <v>20</v>
      </c>
      <c r="N413" s="1">
        <v>27830</v>
      </c>
      <c r="O413" s="1">
        <v>236</v>
      </c>
      <c r="P413" s="2">
        <f>SUM(STREAMS_STATS[[#This Row],[In Spotify Playlists]],STREAMS_STATS[[#This Row],[In Apple Playlists]],STREAMS_STATS[[#This Row],[In Deezer Playlists]],STREAMS_STATS[[#This Row],[In YouTube Playlists]])</f>
        <v>40062</v>
      </c>
      <c r="Q413" s="1">
        <v>139</v>
      </c>
      <c r="R413" s="1">
        <v>-6</v>
      </c>
      <c r="S413" s="1" t="s">
        <v>68</v>
      </c>
      <c r="T413" s="1">
        <v>85</v>
      </c>
      <c r="U413" s="1">
        <v>32</v>
      </c>
      <c r="V413" s="1">
        <v>48</v>
      </c>
      <c r="W413" s="1">
        <v>8</v>
      </c>
      <c r="X413" s="1">
        <v>213</v>
      </c>
      <c r="Y413" s="5">
        <f>STREAMS_STATS[[#This Row],[Duration]]/60</f>
        <v>3.55</v>
      </c>
      <c r="Z413" s="1">
        <v>1</v>
      </c>
      <c r="AA413" s="1">
        <v>8</v>
      </c>
      <c r="AB413" s="1">
        <v>69</v>
      </c>
    </row>
    <row r="414" spans="1:28">
      <c r="A414" t="s">
        <v>662</v>
      </c>
      <c r="B414" s="1" t="s">
        <v>39</v>
      </c>
      <c r="C414" s="1" t="s">
        <v>115</v>
      </c>
      <c r="D414" s="1">
        <v>2011</v>
      </c>
      <c r="E414" s="3">
        <v>266624541</v>
      </c>
      <c r="F414" s="3" t="str" cm="1">
        <f t="array" ref="F41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14" s="1">
        <v>1985</v>
      </c>
      <c r="H414" s="1">
        <v>268</v>
      </c>
      <c r="I414" s="1">
        <v>152</v>
      </c>
      <c r="J414" s="1">
        <v>32918</v>
      </c>
      <c r="K414" s="1">
        <v>92</v>
      </c>
      <c r="L414" s="1">
        <v>9059</v>
      </c>
      <c r="M414" s="1">
        <v>60</v>
      </c>
      <c r="N414" s="1">
        <v>19724</v>
      </c>
      <c r="O414" s="1">
        <v>112</v>
      </c>
      <c r="P414" s="2">
        <f>SUM(STREAMS_STATS[[#This Row],[In Spotify Playlists]],STREAMS_STATS[[#This Row],[In Apple Playlists]],STREAMS_STATS[[#This Row],[In Deezer Playlists]],STREAMS_STATS[[#This Row],[In YouTube Playlists]])</f>
        <v>63686</v>
      </c>
      <c r="Q414" s="1">
        <v>128</v>
      </c>
      <c r="R414" s="1">
        <v>-3</v>
      </c>
      <c r="S414" s="1" t="s">
        <v>75</v>
      </c>
      <c r="T414" s="1">
        <v>81</v>
      </c>
      <c r="U414" s="1">
        <v>82</v>
      </c>
      <c r="V414" s="1">
        <v>5</v>
      </c>
      <c r="W414" s="1">
        <v>89</v>
      </c>
      <c r="X414" s="1">
        <v>257</v>
      </c>
      <c r="Y414" s="5">
        <f>STREAMS_STATS[[#This Row],[Duration]]/60</f>
        <v>4.2833333333333332</v>
      </c>
      <c r="Z414" s="1">
        <v>5</v>
      </c>
      <c r="AA414" s="1">
        <v>5</v>
      </c>
      <c r="AB414" s="1">
        <v>54</v>
      </c>
    </row>
    <row r="415" spans="1:28">
      <c r="A415" t="s">
        <v>663</v>
      </c>
      <c r="B415" s="1" t="s">
        <v>140</v>
      </c>
      <c r="C415" s="1" t="s">
        <v>67</v>
      </c>
      <c r="D415" s="1">
        <v>2015</v>
      </c>
      <c r="E415" s="3">
        <v>498960285</v>
      </c>
      <c r="F415" s="3" t="str" cm="1">
        <f t="array" ref="F41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15" s="1">
        <v>4013</v>
      </c>
      <c r="H415" s="1">
        <v>272</v>
      </c>
      <c r="I415" s="1">
        <v>21</v>
      </c>
      <c r="J415" s="1">
        <v>32903</v>
      </c>
      <c r="K415" s="1">
        <v>21</v>
      </c>
      <c r="L415" s="1">
        <v>11</v>
      </c>
      <c r="M415" s="1">
        <v>43</v>
      </c>
      <c r="N415" s="1">
        <v>18179</v>
      </c>
      <c r="O415" s="1">
        <v>74</v>
      </c>
      <c r="P415" s="2">
        <f>SUM(STREAMS_STATS[[#This Row],[In Spotify Playlists]],STREAMS_STATS[[#This Row],[In Apple Playlists]],STREAMS_STATS[[#This Row],[In Deezer Playlists]],STREAMS_STATS[[#This Row],[In YouTube Playlists]])</f>
        <v>55106</v>
      </c>
      <c r="Q415" s="1">
        <v>98</v>
      </c>
      <c r="R415" s="1">
        <v>-4</v>
      </c>
      <c r="S415" s="1" t="s">
        <v>75</v>
      </c>
      <c r="T415" s="1">
        <v>59</v>
      </c>
      <c r="U415" s="1">
        <v>67</v>
      </c>
      <c r="V415" s="1">
        <v>21</v>
      </c>
      <c r="W415" s="1">
        <v>44</v>
      </c>
      <c r="X415" s="1">
        <v>229</v>
      </c>
      <c r="Y415" s="5">
        <f>STREAMS_STATS[[#This Row],[Duration]]/60</f>
        <v>3.8166666666666669</v>
      </c>
      <c r="Z415" s="1">
        <v>2</v>
      </c>
      <c r="AA415" s="1">
        <v>3</v>
      </c>
      <c r="AB415" s="1">
        <v>69</v>
      </c>
    </row>
    <row r="416" spans="1:28">
      <c r="A416" t="s">
        <v>664</v>
      </c>
      <c r="B416" s="1" t="s">
        <v>219</v>
      </c>
      <c r="C416" s="1" t="s">
        <v>67</v>
      </c>
      <c r="D416" s="1">
        <v>2018</v>
      </c>
      <c r="E416" s="3">
        <v>786181836</v>
      </c>
      <c r="F416" s="3" t="str" cm="1">
        <f t="array" ref="F41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16" s="1">
        <v>6821</v>
      </c>
      <c r="H416" s="1">
        <v>260</v>
      </c>
      <c r="I416" s="1">
        <v>30</v>
      </c>
      <c r="J416" s="1">
        <v>10130</v>
      </c>
      <c r="K416" s="1">
        <v>30</v>
      </c>
      <c r="L416" s="1">
        <v>86</v>
      </c>
      <c r="M416" s="1">
        <v>26</v>
      </c>
      <c r="N416" s="1">
        <v>31682</v>
      </c>
      <c r="O416" s="1">
        <v>234</v>
      </c>
      <c r="P416" s="2">
        <f>SUM(STREAMS_STATS[[#This Row],[In Spotify Playlists]],STREAMS_STATS[[#This Row],[In Apple Playlists]],STREAMS_STATS[[#This Row],[In Deezer Playlists]],STREAMS_STATS[[#This Row],[In YouTube Playlists]])</f>
        <v>48719</v>
      </c>
      <c r="Q416" s="1">
        <v>97</v>
      </c>
      <c r="R416" s="1">
        <v>-7</v>
      </c>
      <c r="S416" s="1" t="s">
        <v>75</v>
      </c>
      <c r="T416" s="1">
        <v>63</v>
      </c>
      <c r="U416" s="1">
        <v>71</v>
      </c>
      <c r="V416" s="1">
        <v>8</v>
      </c>
      <c r="W416" s="1">
        <v>37</v>
      </c>
      <c r="X416" s="1">
        <v>279</v>
      </c>
      <c r="Y416" s="5">
        <f>STREAMS_STATS[[#This Row],[Duration]]/60</f>
        <v>4.6500000000000004</v>
      </c>
      <c r="Z416" s="1">
        <v>10</v>
      </c>
      <c r="AA416" s="1">
        <v>8</v>
      </c>
      <c r="AB416" s="1">
        <v>74</v>
      </c>
    </row>
    <row r="417" spans="1:28">
      <c r="A417" t="s">
        <v>664</v>
      </c>
      <c r="B417" s="1" t="s">
        <v>665</v>
      </c>
      <c r="C417" s="1" t="s">
        <v>110</v>
      </c>
      <c r="D417" s="1">
        <v>2014</v>
      </c>
      <c r="E417" s="3">
        <v>319566866</v>
      </c>
      <c r="F417" s="3" t="str" cm="1">
        <f t="array" ref="F41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17" s="1">
        <v>2483</v>
      </c>
      <c r="H417" s="1">
        <v>274</v>
      </c>
      <c r="I417" s="1">
        <v>4</v>
      </c>
      <c r="J417" s="1">
        <v>26474</v>
      </c>
      <c r="K417" s="1">
        <v>84</v>
      </c>
      <c r="L417" s="1">
        <v>5</v>
      </c>
      <c r="M417" s="1">
        <v>25</v>
      </c>
      <c r="N417" s="1">
        <v>9352</v>
      </c>
      <c r="O417" s="1">
        <v>251</v>
      </c>
      <c r="P417" s="2">
        <f>SUM(STREAMS_STATS[[#This Row],[In Spotify Playlists]],STREAMS_STATS[[#This Row],[In Apple Playlists]],STREAMS_STATS[[#This Row],[In Deezer Playlists]],STREAMS_STATS[[#This Row],[In YouTube Playlists]])</f>
        <v>38314</v>
      </c>
      <c r="Q417" s="1">
        <v>138</v>
      </c>
      <c r="R417" s="1">
        <v>-9</v>
      </c>
      <c r="S417" s="1" t="s">
        <v>75</v>
      </c>
      <c r="T417" s="1">
        <v>15</v>
      </c>
      <c r="U417" s="1">
        <v>45</v>
      </c>
      <c r="V417" s="1">
        <v>9</v>
      </c>
      <c r="W417" s="1">
        <v>9</v>
      </c>
      <c r="X417" s="1">
        <v>229</v>
      </c>
      <c r="Y417" s="5">
        <f>STREAMS_STATS[[#This Row],[Duration]]/60</f>
        <v>3.8166666666666669</v>
      </c>
      <c r="Z417" s="1">
        <v>87</v>
      </c>
      <c r="AA417" s="1">
        <v>3</v>
      </c>
      <c r="AB417" s="1">
        <v>61</v>
      </c>
    </row>
    <row r="418" spans="1:28">
      <c r="A418" t="s">
        <v>666</v>
      </c>
      <c r="B418" s="1" t="s">
        <v>388</v>
      </c>
      <c r="C418" s="1" t="s">
        <v>23</v>
      </c>
      <c r="D418" s="1">
        <v>2016</v>
      </c>
      <c r="E418" s="3">
        <v>1301799902</v>
      </c>
      <c r="F418" s="3" t="str" cm="1">
        <f t="array" ref="F418">_xlfn.IFS(STREAMS_STATS[[#This Row],[Streams]] &gt;= 1000000000, "1B+", STREAMS_STATS[[#This Row],[Streams]] &gt;= 500000000, "500M–1B", STREAMS_STATS[[#This Row],[Streams]] &gt;= 250000000, "250M–500M", TRUE, "Under 250M")</f>
        <v>1B+</v>
      </c>
      <c r="G418" s="1">
        <v>13801</v>
      </c>
      <c r="H418" s="1">
        <v>55</v>
      </c>
      <c r="I418" s="1">
        <v>15</v>
      </c>
      <c r="J418" s="1">
        <v>30257</v>
      </c>
      <c r="K418" s="1">
        <v>15</v>
      </c>
      <c r="L418" s="1">
        <v>35</v>
      </c>
      <c r="M418" s="1">
        <v>14</v>
      </c>
      <c r="N418" s="1">
        <v>29278</v>
      </c>
      <c r="O418" s="1">
        <v>311</v>
      </c>
      <c r="P418" s="2">
        <f>SUM(STREAMS_STATS[[#This Row],[In Spotify Playlists]],STREAMS_STATS[[#This Row],[In Apple Playlists]],STREAMS_STATS[[#This Row],[In Deezer Playlists]],STREAMS_STATS[[#This Row],[In YouTube Playlists]])</f>
        <v>73371</v>
      </c>
      <c r="Q418" s="1">
        <v>97</v>
      </c>
      <c r="R418" s="1">
        <v>-6</v>
      </c>
      <c r="S418" s="1" t="s">
        <v>75</v>
      </c>
      <c r="T418" s="1">
        <v>74</v>
      </c>
      <c r="U418" s="1">
        <v>57</v>
      </c>
      <c r="V418" s="1">
        <v>11</v>
      </c>
      <c r="W418" s="1">
        <v>45</v>
      </c>
      <c r="X418" s="1">
        <v>230</v>
      </c>
      <c r="Y418" s="5">
        <f>STREAMS_STATS[[#This Row],[Duration]]/60</f>
        <v>3.8333333333333335</v>
      </c>
      <c r="Z418" s="1">
        <v>3</v>
      </c>
      <c r="AA418" s="1">
        <v>13</v>
      </c>
      <c r="AB418" s="1">
        <v>79</v>
      </c>
    </row>
    <row r="419" spans="1:28">
      <c r="A419" t="s">
        <v>667</v>
      </c>
      <c r="B419" s="1" t="s">
        <v>112</v>
      </c>
      <c r="C419" s="1" t="s">
        <v>67</v>
      </c>
      <c r="D419" s="1">
        <v>2010</v>
      </c>
      <c r="E419" s="3">
        <v>1133865788</v>
      </c>
      <c r="F419" s="3" t="str" cm="1">
        <f t="array" ref="F419">_xlfn.IFS(STREAMS_STATS[[#This Row],[Streams]] &gt;= 1000000000, "1B+", STREAMS_STATS[[#This Row],[Streams]] &gt;= 500000000, "500M–1B", STREAMS_STATS[[#This Row],[Streams]] &gt;= 250000000, "250M–500M", TRUE, "Under 250M")</f>
        <v>1B+</v>
      </c>
      <c r="G419" s="1">
        <v>10326</v>
      </c>
      <c r="H419" s="1">
        <v>92</v>
      </c>
      <c r="I419" s="1">
        <v>82</v>
      </c>
      <c r="J419" s="1">
        <v>19982</v>
      </c>
      <c r="K419" s="1">
        <v>58</v>
      </c>
      <c r="L419" s="1">
        <v>5001</v>
      </c>
      <c r="M419" s="1">
        <v>126</v>
      </c>
      <c r="N419" s="1">
        <v>14514</v>
      </c>
      <c r="O419" s="1">
        <v>313</v>
      </c>
      <c r="P419" s="2">
        <f>SUM(STREAMS_STATS[[#This Row],[In Spotify Playlists]],STREAMS_STATS[[#This Row],[In Apple Playlists]],STREAMS_STATS[[#This Row],[In Deezer Playlists]],STREAMS_STATS[[#This Row],[In YouTube Playlists]])</f>
        <v>49823</v>
      </c>
      <c r="Q419" s="1">
        <v>148</v>
      </c>
      <c r="R419" s="1">
        <v>-6</v>
      </c>
      <c r="S419" s="1" t="s">
        <v>75</v>
      </c>
      <c r="T419" s="1">
        <v>76</v>
      </c>
      <c r="U419" s="1">
        <v>52</v>
      </c>
      <c r="V419" s="1">
        <v>12</v>
      </c>
      <c r="W419" s="1">
        <v>38</v>
      </c>
      <c r="X419" s="1">
        <v>225</v>
      </c>
      <c r="Y419" s="5">
        <f>STREAMS_STATS[[#This Row],[Duration]]/60</f>
        <v>3.75</v>
      </c>
      <c r="Z419" s="1">
        <v>7</v>
      </c>
      <c r="AA419" s="1">
        <v>4</v>
      </c>
      <c r="AB419" s="1">
        <v>77</v>
      </c>
    </row>
    <row r="420" spans="1:28">
      <c r="A420" t="s">
        <v>668</v>
      </c>
      <c r="B420" s="1" t="s">
        <v>669</v>
      </c>
      <c r="C420" s="1" t="s">
        <v>284</v>
      </c>
      <c r="D420" s="1">
        <v>2015</v>
      </c>
      <c r="E420" s="3">
        <v>273914335</v>
      </c>
      <c r="F420" s="3" t="str" cm="1">
        <f t="array" ref="F42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20" s="1">
        <v>2020</v>
      </c>
      <c r="H420" s="1">
        <v>171</v>
      </c>
      <c r="I420" s="1">
        <v>16</v>
      </c>
      <c r="J420" s="1">
        <v>16092</v>
      </c>
      <c r="K420" s="1">
        <v>16</v>
      </c>
      <c r="L420" s="1">
        <v>17</v>
      </c>
      <c r="M420" s="1">
        <v>36</v>
      </c>
      <c r="N420" s="1">
        <v>7216</v>
      </c>
      <c r="O420" s="1">
        <v>162</v>
      </c>
      <c r="P420" s="2">
        <f>SUM(STREAMS_STATS[[#This Row],[In Spotify Playlists]],STREAMS_STATS[[#This Row],[In Apple Playlists]],STREAMS_STATS[[#This Row],[In Deezer Playlists]],STREAMS_STATS[[#This Row],[In YouTube Playlists]])</f>
        <v>25345</v>
      </c>
      <c r="Q420" s="1">
        <v>80</v>
      </c>
      <c r="R420" s="1">
        <v>-8</v>
      </c>
      <c r="S420" s="1" t="s">
        <v>68</v>
      </c>
      <c r="T420" s="1">
        <v>48</v>
      </c>
      <c r="U420" s="1">
        <v>69</v>
      </c>
      <c r="V420" s="1">
        <v>6</v>
      </c>
      <c r="W420" s="1">
        <v>28</v>
      </c>
      <c r="X420" s="1">
        <v>230</v>
      </c>
      <c r="Y420" s="5">
        <f>STREAMS_STATS[[#This Row],[Duration]]/60</f>
        <v>3.8333333333333335</v>
      </c>
      <c r="Z420" s="1">
        <v>37</v>
      </c>
      <c r="AA420" s="1">
        <v>8</v>
      </c>
      <c r="AB420" s="1">
        <v>56</v>
      </c>
    </row>
    <row r="421" spans="1:28">
      <c r="A421" t="s">
        <v>670</v>
      </c>
      <c r="B421" s="1" t="s">
        <v>36</v>
      </c>
      <c r="C421" s="1" t="s">
        <v>107</v>
      </c>
      <c r="D421" s="1">
        <v>2016</v>
      </c>
      <c r="E421" s="3">
        <v>312622938</v>
      </c>
      <c r="F421" s="3" t="str" cm="1">
        <f t="array" ref="F42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21" s="1">
        <v>2459</v>
      </c>
      <c r="H421" s="1">
        <v>175</v>
      </c>
      <c r="I421" s="1">
        <v>1</v>
      </c>
      <c r="J421" s="1">
        <v>30795</v>
      </c>
      <c r="K421" s="1">
        <v>1</v>
      </c>
      <c r="L421" s="1">
        <v>50</v>
      </c>
      <c r="M421" s="1">
        <v>40</v>
      </c>
      <c r="N421" s="1">
        <v>39754</v>
      </c>
      <c r="O421" s="1">
        <v>269</v>
      </c>
      <c r="P421" s="2">
        <f>SUM(STREAMS_STATS[[#This Row],[In Spotify Playlists]],STREAMS_STATS[[#This Row],[In Apple Playlists]],STREAMS_STATS[[#This Row],[In Deezer Playlists]],STREAMS_STATS[[#This Row],[In YouTube Playlists]])</f>
        <v>73058</v>
      </c>
      <c r="Q421" s="1">
        <v>164</v>
      </c>
      <c r="R421" s="1">
        <v>-8</v>
      </c>
      <c r="S421" s="1" t="s">
        <v>68</v>
      </c>
      <c r="T421" s="1">
        <v>52</v>
      </c>
      <c r="U421" s="1">
        <v>69</v>
      </c>
      <c r="V421" s="1">
        <v>17</v>
      </c>
      <c r="W421" s="1">
        <v>56</v>
      </c>
      <c r="X421" s="1">
        <v>223</v>
      </c>
      <c r="Y421" s="5">
        <f>STREAMS_STATS[[#This Row],[Duration]]/60</f>
        <v>3.7166666666666668</v>
      </c>
      <c r="Z421" s="1">
        <v>4</v>
      </c>
      <c r="AA421" s="1">
        <v>10</v>
      </c>
      <c r="AB421" s="1">
        <v>61</v>
      </c>
    </row>
    <row r="422" spans="1:28">
      <c r="A422" t="s">
        <v>671</v>
      </c>
      <c r="B422" s="1" t="s">
        <v>33</v>
      </c>
      <c r="C422" s="1" t="s">
        <v>134</v>
      </c>
      <c r="D422" s="1">
        <v>2019</v>
      </c>
      <c r="E422" s="3">
        <v>2864791672</v>
      </c>
      <c r="F422" s="3" t="str" cm="1">
        <f t="array" ref="F422">_xlfn.IFS(STREAMS_STATS[[#This Row],[Streams]] &gt;= 1000000000, "1B+", STREAMS_STATS[[#This Row],[Streams]] &gt;= 500000000, "500M–1B", STREAMS_STATS[[#This Row],[Streams]] &gt;= 250000000, "250M–500M", TRUE, "Under 250M")</f>
        <v>1B+</v>
      </c>
      <c r="G422" s="1">
        <v>49991</v>
      </c>
      <c r="H422" s="1">
        <v>1</v>
      </c>
      <c r="I422" s="1">
        <v>71</v>
      </c>
      <c r="J422" s="1">
        <v>14600</v>
      </c>
      <c r="K422" s="1">
        <v>71</v>
      </c>
      <c r="L422" s="1">
        <v>519</v>
      </c>
      <c r="M422" s="1">
        <v>2</v>
      </c>
      <c r="N422" s="1">
        <v>11180</v>
      </c>
      <c r="O422" s="1">
        <v>279</v>
      </c>
      <c r="P422" s="2">
        <f>SUM(STREAMS_STATS[[#This Row],[In Spotify Playlists]],STREAMS_STATS[[#This Row],[In Apple Playlists]],STREAMS_STATS[[#This Row],[In Deezer Playlists]],STREAMS_STATS[[#This Row],[In YouTube Playlists]])</f>
        <v>76290</v>
      </c>
      <c r="Q422" s="1">
        <v>117</v>
      </c>
      <c r="R422" s="1">
        <v>-6</v>
      </c>
      <c r="S422" s="1" t="s">
        <v>75</v>
      </c>
      <c r="T422" s="1">
        <v>54</v>
      </c>
      <c r="U422" s="1">
        <v>76</v>
      </c>
      <c r="V422" s="1">
        <v>9</v>
      </c>
      <c r="W422" s="1">
        <v>75</v>
      </c>
      <c r="X422" s="1">
        <v>191</v>
      </c>
      <c r="Y422" s="5">
        <f>STREAMS_STATS[[#This Row],[Duration]]/60</f>
        <v>3.1833333333333331</v>
      </c>
      <c r="Z422" s="1">
        <v>4</v>
      </c>
      <c r="AA422" s="1">
        <v>3</v>
      </c>
      <c r="AB422" s="1">
        <v>95</v>
      </c>
    </row>
    <row r="423" spans="1:28">
      <c r="A423" t="s">
        <v>672</v>
      </c>
      <c r="B423" s="1" t="s">
        <v>36</v>
      </c>
      <c r="C423" s="1" t="s">
        <v>107</v>
      </c>
      <c r="D423" s="1">
        <v>2012</v>
      </c>
      <c r="E423" s="3">
        <v>988515741</v>
      </c>
      <c r="F423" s="3" t="str" cm="1">
        <f t="array" ref="F42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23" s="1">
        <v>8775</v>
      </c>
      <c r="H423" s="1">
        <v>74</v>
      </c>
      <c r="I423" s="1">
        <v>252</v>
      </c>
      <c r="J423" s="1">
        <v>37665</v>
      </c>
      <c r="K423" s="1">
        <v>60</v>
      </c>
      <c r="L423" s="1">
        <v>256</v>
      </c>
      <c r="M423" s="1">
        <v>194</v>
      </c>
      <c r="N423" s="1">
        <v>12140</v>
      </c>
      <c r="O423" s="1">
        <v>90</v>
      </c>
      <c r="P423" s="2">
        <f>SUM(STREAMS_STATS[[#This Row],[In Spotify Playlists]],STREAMS_STATS[[#This Row],[In Apple Playlists]],STREAMS_STATS[[#This Row],[In Deezer Playlists]],STREAMS_STATS[[#This Row],[In YouTube Playlists]])</f>
        <v>58836</v>
      </c>
      <c r="Q423" s="1">
        <v>108</v>
      </c>
      <c r="R423" s="1">
        <v>-4</v>
      </c>
      <c r="S423" s="1" t="s">
        <v>75</v>
      </c>
      <c r="T423" s="1">
        <v>68</v>
      </c>
      <c r="U423" s="1">
        <v>61</v>
      </c>
      <c r="V423" s="1">
        <v>13</v>
      </c>
      <c r="W423" s="1">
        <v>47</v>
      </c>
      <c r="X423" s="1">
        <v>242</v>
      </c>
      <c r="Y423" s="5">
        <f>STREAMS_STATS[[#This Row],[Duration]]/60</f>
        <v>4.0333333333333332</v>
      </c>
      <c r="Z423" s="1">
        <v>0</v>
      </c>
      <c r="AA423" s="1">
        <v>3</v>
      </c>
      <c r="AB423" s="1">
        <v>76</v>
      </c>
    </row>
    <row r="424" spans="1:28">
      <c r="A424" t="s">
        <v>673</v>
      </c>
      <c r="B424" s="1" t="s">
        <v>608</v>
      </c>
      <c r="C424" s="1" t="s">
        <v>67</v>
      </c>
      <c r="D424" s="1">
        <v>2011</v>
      </c>
      <c r="E424" s="3">
        <v>457184829</v>
      </c>
      <c r="F424" s="3" t="str" cm="1">
        <f t="array" ref="F42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24" s="1">
        <v>3528</v>
      </c>
      <c r="H424" s="1">
        <v>406</v>
      </c>
      <c r="I424" s="1">
        <v>206</v>
      </c>
      <c r="J424" s="1">
        <v>27018</v>
      </c>
      <c r="K424" s="1">
        <v>50</v>
      </c>
      <c r="L424" s="1">
        <v>7730</v>
      </c>
      <c r="M424" s="1">
        <v>103</v>
      </c>
      <c r="N424" s="1">
        <v>11547</v>
      </c>
      <c r="O424" s="1">
        <v>390</v>
      </c>
      <c r="P424" s="2">
        <f>SUM(STREAMS_STATS[[#This Row],[In Spotify Playlists]],STREAMS_STATS[[#This Row],[In Apple Playlists]],STREAMS_STATS[[#This Row],[In Deezer Playlists]],STREAMS_STATS[[#This Row],[In YouTube Playlists]])</f>
        <v>49823</v>
      </c>
      <c r="Q424" s="1">
        <v>130</v>
      </c>
      <c r="R424" s="1">
        <v>-4</v>
      </c>
      <c r="S424" s="1" t="s">
        <v>75</v>
      </c>
      <c r="T424" s="1">
        <v>86</v>
      </c>
      <c r="U424" s="1">
        <v>71</v>
      </c>
      <c r="V424" s="1">
        <v>19</v>
      </c>
      <c r="W424" s="1">
        <v>80</v>
      </c>
      <c r="X424" s="1">
        <v>199</v>
      </c>
      <c r="Y424" s="5">
        <f>STREAMS_STATS[[#This Row],[Duration]]/60</f>
        <v>3.3166666666666669</v>
      </c>
      <c r="Z424" s="1">
        <v>10</v>
      </c>
      <c r="AA424" s="1">
        <v>32</v>
      </c>
      <c r="AB424" s="1">
        <v>67</v>
      </c>
    </row>
    <row r="425" spans="1:28">
      <c r="A425" t="s">
        <v>674</v>
      </c>
      <c r="B425" s="1" t="s">
        <v>81</v>
      </c>
      <c r="C425" s="1" t="s">
        <v>67</v>
      </c>
      <c r="D425" s="1">
        <v>2010</v>
      </c>
      <c r="E425" s="3">
        <v>327498031</v>
      </c>
      <c r="F425" s="3" t="str" cm="1">
        <f t="array" ref="F42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25" s="1">
        <v>2537</v>
      </c>
      <c r="H425" s="1">
        <v>350</v>
      </c>
      <c r="I425" s="1">
        <v>148</v>
      </c>
      <c r="J425" s="1">
        <v>19420</v>
      </c>
      <c r="K425" s="1">
        <v>89</v>
      </c>
      <c r="L425" s="1">
        <v>8183</v>
      </c>
      <c r="M425" s="1">
        <v>93</v>
      </c>
      <c r="N425" s="1">
        <v>15841</v>
      </c>
      <c r="O425" s="1">
        <v>196</v>
      </c>
      <c r="P425" s="2">
        <f>SUM(STREAMS_STATS[[#This Row],[In Spotify Playlists]],STREAMS_STATS[[#This Row],[In Apple Playlists]],STREAMS_STATS[[#This Row],[In Deezer Playlists]],STREAMS_STATS[[#This Row],[In YouTube Playlists]])</f>
        <v>45981</v>
      </c>
      <c r="Q425" s="1">
        <v>130</v>
      </c>
      <c r="R425" s="1">
        <v>-5</v>
      </c>
      <c r="S425" s="1" t="s">
        <v>75</v>
      </c>
      <c r="T425" s="1">
        <v>63</v>
      </c>
      <c r="U425" s="1">
        <v>81</v>
      </c>
      <c r="V425" s="1">
        <v>13</v>
      </c>
      <c r="W425" s="1">
        <v>80</v>
      </c>
      <c r="X425" s="1">
        <v>196</v>
      </c>
      <c r="Y425" s="5">
        <f>STREAMS_STATS[[#This Row],[Duration]]/60</f>
        <v>3.2666666666666666</v>
      </c>
      <c r="Z425" s="1">
        <v>8</v>
      </c>
      <c r="AA425" s="1">
        <v>5</v>
      </c>
      <c r="AB425" s="1">
        <v>61</v>
      </c>
    </row>
    <row r="426" spans="1:28">
      <c r="A426" t="s">
        <v>675</v>
      </c>
      <c r="B426" s="1" t="s">
        <v>77</v>
      </c>
      <c r="C426" s="1" t="s">
        <v>25</v>
      </c>
      <c r="D426" s="1">
        <v>2014</v>
      </c>
      <c r="E426" s="3">
        <v>1241559043</v>
      </c>
      <c r="F426" s="3" t="str" cm="1">
        <f t="array" ref="F426">_xlfn.IFS(STREAMS_STATS[[#This Row],[Streams]] &gt;= 1000000000, "1B+", STREAMS_STATS[[#This Row],[Streams]] &gt;= 500000000, "500M–1B", STREAMS_STATS[[#This Row],[Streams]] &gt;= 250000000, "250M–500M", TRUE, "Under 250M")</f>
        <v>1B+</v>
      </c>
      <c r="G426" s="1">
        <v>12688</v>
      </c>
      <c r="H426" s="1">
        <v>60</v>
      </c>
      <c r="I426" s="1">
        <v>21</v>
      </c>
      <c r="J426" s="1">
        <v>20313</v>
      </c>
      <c r="K426" s="1">
        <v>21</v>
      </c>
      <c r="L426" s="1">
        <v>3</v>
      </c>
      <c r="M426" s="1">
        <v>22</v>
      </c>
      <c r="N426" s="1">
        <v>10208</v>
      </c>
      <c r="O426" s="1">
        <v>362</v>
      </c>
      <c r="P426" s="2">
        <f>SUM(STREAMS_STATS[[#This Row],[In Spotify Playlists]],STREAMS_STATS[[#This Row],[In Apple Playlists]],STREAMS_STATS[[#This Row],[In Deezer Playlists]],STREAMS_STATS[[#This Row],[In YouTube Playlists]])</f>
        <v>43212</v>
      </c>
      <c r="Q426" s="1">
        <v>160</v>
      </c>
      <c r="R426" s="1">
        <v>-5</v>
      </c>
      <c r="S426" s="1" t="s">
        <v>75</v>
      </c>
      <c r="T426" s="1">
        <v>80</v>
      </c>
      <c r="U426" s="1">
        <v>65</v>
      </c>
      <c r="V426" s="1">
        <v>33</v>
      </c>
      <c r="W426" s="1">
        <v>94</v>
      </c>
      <c r="X426" s="1">
        <v>219</v>
      </c>
      <c r="Y426" s="5">
        <f>STREAMS_STATS[[#This Row],[Duration]]/60</f>
        <v>3.65</v>
      </c>
      <c r="Z426" s="1">
        <v>6</v>
      </c>
      <c r="AA426" s="1">
        <v>17</v>
      </c>
      <c r="AB426" s="1">
        <v>78</v>
      </c>
    </row>
    <row r="427" spans="1:28">
      <c r="A427" t="s">
        <v>676</v>
      </c>
      <c r="B427" s="1" t="s">
        <v>97</v>
      </c>
      <c r="C427" s="1" t="s">
        <v>67</v>
      </c>
      <c r="D427" s="1">
        <v>2018</v>
      </c>
      <c r="E427" s="3">
        <v>1424589568</v>
      </c>
      <c r="F427" s="3" t="str" cm="1">
        <f t="array" ref="F427">_xlfn.IFS(STREAMS_STATS[[#This Row],[Streams]] &gt;= 1000000000, "1B+", STREAMS_STATS[[#This Row],[Streams]] &gt;= 500000000, "500M–1B", STREAMS_STATS[[#This Row],[Streams]] &gt;= 250000000, "250M–500M", TRUE, "Under 250M")</f>
        <v>1B+</v>
      </c>
      <c r="G427" s="1">
        <v>15722</v>
      </c>
      <c r="H427" s="1">
        <v>29</v>
      </c>
      <c r="I427" s="1">
        <v>32</v>
      </c>
      <c r="J427" s="1">
        <v>2025</v>
      </c>
      <c r="K427" s="1">
        <v>32</v>
      </c>
      <c r="L427" s="1">
        <v>137</v>
      </c>
      <c r="M427" s="1">
        <v>15</v>
      </c>
      <c r="N427" s="1">
        <v>30481</v>
      </c>
      <c r="O427" s="1">
        <v>68</v>
      </c>
      <c r="P427" s="2">
        <f>SUM(STREAMS_STATS[[#This Row],[In Spotify Playlists]],STREAMS_STATS[[#This Row],[In Apple Playlists]],STREAMS_STATS[[#This Row],[In Deezer Playlists]],STREAMS_STATS[[#This Row],[In YouTube Playlists]])</f>
        <v>48365</v>
      </c>
      <c r="Q427" s="1">
        <v>96</v>
      </c>
      <c r="R427" s="1">
        <v>-7</v>
      </c>
      <c r="S427" s="1" t="s">
        <v>68</v>
      </c>
      <c r="T427" s="1">
        <v>33</v>
      </c>
      <c r="U427" s="1">
        <v>57</v>
      </c>
      <c r="V427" s="1">
        <v>9</v>
      </c>
      <c r="W427" s="1">
        <v>28</v>
      </c>
      <c r="X427" s="1">
        <v>217</v>
      </c>
      <c r="Y427" s="5">
        <f>STREAMS_STATS[[#This Row],[Duration]]/60</f>
        <v>3.6166666666666667</v>
      </c>
      <c r="Z427" s="1">
        <v>42</v>
      </c>
      <c r="AA427" s="1">
        <v>3</v>
      </c>
      <c r="AB427" s="1">
        <v>80</v>
      </c>
    </row>
    <row r="428" spans="1:28">
      <c r="A428" t="s">
        <v>677</v>
      </c>
      <c r="B428" s="1" t="s">
        <v>31</v>
      </c>
      <c r="C428" s="1" t="s">
        <v>25</v>
      </c>
      <c r="D428" s="1">
        <v>2017</v>
      </c>
      <c r="E428" s="3">
        <v>2513188493</v>
      </c>
      <c r="F428" s="3" t="str" cm="1">
        <f t="array" ref="F428">_xlfn.IFS(STREAMS_STATS[[#This Row],[Streams]] &gt;= 1000000000, "1B+", STREAMS_STATS[[#This Row],[Streams]] &gt;= 500000000, "500M–1B", STREAMS_STATS[[#This Row],[Streams]] &gt;= 250000000, "250M–500M", TRUE, "Under 250M")</f>
        <v>1B+</v>
      </c>
      <c r="G428" s="1">
        <v>36724</v>
      </c>
      <c r="H428" s="1">
        <v>2</v>
      </c>
      <c r="I428" s="1">
        <v>53</v>
      </c>
      <c r="J428" s="1">
        <v>1772</v>
      </c>
      <c r="K428" s="1">
        <v>53</v>
      </c>
      <c r="L428" s="1">
        <v>181</v>
      </c>
      <c r="M428" s="1">
        <v>33</v>
      </c>
      <c r="N428" s="1">
        <v>37822</v>
      </c>
      <c r="O428" s="1">
        <v>185</v>
      </c>
      <c r="P428" s="2">
        <f>SUM(STREAMS_STATS[[#This Row],[In Spotify Playlists]],STREAMS_STATS[[#This Row],[In Apple Playlists]],STREAMS_STATS[[#This Row],[In Deezer Playlists]],STREAMS_STATS[[#This Row],[In YouTube Playlists]])</f>
        <v>76499</v>
      </c>
      <c r="Q428" s="1">
        <v>96</v>
      </c>
      <c r="R428" s="1">
        <v>-3</v>
      </c>
      <c r="S428" s="1" t="s">
        <v>68</v>
      </c>
      <c r="T428" s="1">
        <v>65</v>
      </c>
      <c r="U428" s="1">
        <v>83</v>
      </c>
      <c r="V428" s="1">
        <v>9</v>
      </c>
      <c r="W428" s="1">
        <v>93</v>
      </c>
      <c r="X428" s="1">
        <v>234</v>
      </c>
      <c r="Y428" s="5">
        <f>STREAMS_STATS[[#This Row],[Duration]]/60</f>
        <v>3.9</v>
      </c>
      <c r="Z428" s="1">
        <v>58</v>
      </c>
      <c r="AA428" s="1">
        <v>8</v>
      </c>
      <c r="AB428" s="1">
        <v>87</v>
      </c>
    </row>
    <row r="429" spans="1:28">
      <c r="A429" t="s">
        <v>678</v>
      </c>
      <c r="B429" s="1" t="s">
        <v>679</v>
      </c>
      <c r="C429" s="1" t="s">
        <v>159</v>
      </c>
      <c r="D429" s="1">
        <v>2014</v>
      </c>
      <c r="E429" s="3">
        <v>599770206</v>
      </c>
      <c r="F429" s="3" t="str" cm="1">
        <f t="array" ref="F42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29" s="1">
        <v>4873</v>
      </c>
      <c r="H429" s="1">
        <v>433</v>
      </c>
      <c r="I429" s="1">
        <v>82</v>
      </c>
      <c r="J429" s="1">
        <v>12404</v>
      </c>
      <c r="K429" s="1">
        <v>82</v>
      </c>
      <c r="L429" s="1">
        <v>939</v>
      </c>
      <c r="M429" s="1">
        <v>1</v>
      </c>
      <c r="N429" s="1">
        <v>36522</v>
      </c>
      <c r="O429" s="1">
        <v>235</v>
      </c>
      <c r="P429" s="2">
        <f>SUM(STREAMS_STATS[[#This Row],[In Spotify Playlists]],STREAMS_STATS[[#This Row],[In Apple Playlists]],STREAMS_STATS[[#This Row],[In Deezer Playlists]],STREAMS_STATS[[#This Row],[In YouTube Playlists]])</f>
        <v>54738</v>
      </c>
      <c r="Q429" s="1">
        <v>160</v>
      </c>
      <c r="R429" s="1">
        <v>-4</v>
      </c>
      <c r="S429" s="1" t="s">
        <v>75</v>
      </c>
      <c r="T429" s="1">
        <v>95</v>
      </c>
      <c r="U429" s="1">
        <v>49</v>
      </c>
      <c r="V429" s="1">
        <v>33</v>
      </c>
      <c r="W429" s="1">
        <v>44</v>
      </c>
      <c r="X429" s="1">
        <v>202</v>
      </c>
      <c r="Y429" s="5">
        <f>STREAMS_STATS[[#This Row],[Duration]]/60</f>
        <v>3.3666666666666667</v>
      </c>
      <c r="Z429" s="1">
        <v>0</v>
      </c>
      <c r="AA429" s="1">
        <v>13</v>
      </c>
      <c r="AB429" s="1">
        <v>71</v>
      </c>
    </row>
    <row r="430" spans="1:28">
      <c r="A430" t="s">
        <v>680</v>
      </c>
      <c r="B430" s="1" t="s">
        <v>681</v>
      </c>
      <c r="C430" s="1" t="s">
        <v>67</v>
      </c>
      <c r="D430" s="1">
        <v>2014</v>
      </c>
      <c r="E430" s="3">
        <v>213438580</v>
      </c>
      <c r="F430" s="3" t="str" cm="1">
        <f t="array" ref="F43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30" s="1">
        <v>1493</v>
      </c>
      <c r="H430" s="1">
        <v>127</v>
      </c>
      <c r="I430" s="1">
        <v>17</v>
      </c>
      <c r="J430" s="1">
        <v>25721</v>
      </c>
      <c r="K430" s="1">
        <v>17</v>
      </c>
      <c r="L430" s="1">
        <v>2</v>
      </c>
      <c r="M430" s="1">
        <v>39</v>
      </c>
      <c r="N430" s="1">
        <v>18381</v>
      </c>
      <c r="O430" s="1">
        <v>323</v>
      </c>
      <c r="P430" s="2">
        <f>SUM(STREAMS_STATS[[#This Row],[In Spotify Playlists]],STREAMS_STATS[[#This Row],[In Apple Playlists]],STREAMS_STATS[[#This Row],[In Deezer Playlists]],STREAMS_STATS[[#This Row],[In YouTube Playlists]])</f>
        <v>45597</v>
      </c>
      <c r="Q430" s="1">
        <v>130</v>
      </c>
      <c r="R430" s="1">
        <v>-7</v>
      </c>
      <c r="S430" s="1" t="s">
        <v>68</v>
      </c>
      <c r="T430" s="1">
        <v>50</v>
      </c>
      <c r="U430" s="1">
        <v>78</v>
      </c>
      <c r="V430" s="1">
        <v>11</v>
      </c>
      <c r="W430" s="1">
        <v>39</v>
      </c>
      <c r="X430" s="1">
        <v>235</v>
      </c>
      <c r="Y430" s="5">
        <f>STREAMS_STATS[[#This Row],[Duration]]/60</f>
        <v>3.9166666666666665</v>
      </c>
      <c r="Z430" s="1">
        <v>15</v>
      </c>
      <c r="AA430" s="1">
        <v>4</v>
      </c>
      <c r="AB430" s="1">
        <v>37</v>
      </c>
    </row>
    <row r="431" spans="1:28">
      <c r="A431" t="s">
        <v>682</v>
      </c>
      <c r="B431" s="1" t="s">
        <v>81</v>
      </c>
      <c r="C431" s="1" t="s">
        <v>67</v>
      </c>
      <c r="D431" s="1">
        <v>2014</v>
      </c>
      <c r="E431" s="3">
        <v>319757142</v>
      </c>
      <c r="F431" s="3" t="str" cm="1">
        <f t="array" ref="F43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31" s="1">
        <v>2499</v>
      </c>
      <c r="H431" s="1">
        <v>353</v>
      </c>
      <c r="I431" s="1">
        <v>132</v>
      </c>
      <c r="J431" s="1">
        <v>32162</v>
      </c>
      <c r="K431" s="1">
        <v>132</v>
      </c>
      <c r="L431" s="1">
        <v>17</v>
      </c>
      <c r="M431" s="1">
        <v>6</v>
      </c>
      <c r="N431" s="1">
        <v>17702</v>
      </c>
      <c r="O431" s="1">
        <v>282</v>
      </c>
      <c r="P431" s="2">
        <f>SUM(STREAMS_STATS[[#This Row],[In Spotify Playlists]],STREAMS_STATS[[#This Row],[In Apple Playlists]],STREAMS_STATS[[#This Row],[In Deezer Playlists]],STREAMS_STATS[[#This Row],[In YouTube Playlists]])</f>
        <v>52380</v>
      </c>
      <c r="Q431" s="1">
        <v>192</v>
      </c>
      <c r="R431" s="1">
        <v>-4</v>
      </c>
      <c r="S431" s="1" t="s">
        <v>68</v>
      </c>
      <c r="T431" s="1">
        <v>77</v>
      </c>
      <c r="U431" s="1">
        <v>35</v>
      </c>
      <c r="V431" s="1">
        <v>12</v>
      </c>
      <c r="W431" s="1">
        <v>4</v>
      </c>
      <c r="X431" s="1">
        <v>191</v>
      </c>
      <c r="Y431" s="5">
        <f>STREAMS_STATS[[#This Row],[Duration]]/60</f>
        <v>3.1833333333333331</v>
      </c>
      <c r="Z431" s="1">
        <v>6</v>
      </c>
      <c r="AA431" s="1">
        <v>5</v>
      </c>
      <c r="AB431" s="1">
        <v>61</v>
      </c>
    </row>
    <row r="432" spans="1:28">
      <c r="A432" t="s">
        <v>683</v>
      </c>
      <c r="B432" s="1" t="s">
        <v>408</v>
      </c>
      <c r="C432" s="1" t="s">
        <v>67</v>
      </c>
      <c r="D432" s="1">
        <v>2016</v>
      </c>
      <c r="E432" s="3">
        <v>1062345656</v>
      </c>
      <c r="F432" s="3" t="str" cm="1">
        <f t="array" ref="F432">_xlfn.IFS(STREAMS_STATS[[#This Row],[Streams]] &gt;= 1000000000, "1B+", STREAMS_STATS[[#This Row],[Streams]] &gt;= 500000000, "500M–1B", STREAMS_STATS[[#This Row],[Streams]] &gt;= 250000000, "250M–500M", TRUE, "Under 250M")</f>
        <v>1B+</v>
      </c>
      <c r="G432" s="1">
        <v>9424</v>
      </c>
      <c r="H432" s="1">
        <v>85</v>
      </c>
      <c r="I432" s="1">
        <v>13</v>
      </c>
      <c r="J432" s="1">
        <v>9878</v>
      </c>
      <c r="K432" s="1">
        <v>13</v>
      </c>
      <c r="L432" s="1">
        <v>65</v>
      </c>
      <c r="M432" s="1">
        <v>19</v>
      </c>
      <c r="N432" s="1">
        <v>25230</v>
      </c>
      <c r="O432" s="1">
        <v>1</v>
      </c>
      <c r="P432" s="2">
        <f>SUM(STREAMS_STATS[[#This Row],[In Spotify Playlists]],STREAMS_STATS[[#This Row],[In Apple Playlists]],STREAMS_STATS[[#This Row],[In Deezer Playlists]],STREAMS_STATS[[#This Row],[In YouTube Playlists]])</f>
        <v>44597</v>
      </c>
      <c r="Q432" s="1">
        <v>126</v>
      </c>
      <c r="R432" s="1">
        <v>-4</v>
      </c>
      <c r="S432" s="1" t="s">
        <v>75</v>
      </c>
      <c r="T432" s="1">
        <v>75</v>
      </c>
      <c r="U432" s="1">
        <v>77</v>
      </c>
      <c r="V432" s="1">
        <v>11</v>
      </c>
      <c r="W432" s="1">
        <v>80</v>
      </c>
      <c r="X432" s="1">
        <v>246</v>
      </c>
      <c r="Y432" s="5">
        <f>STREAMS_STATS[[#This Row],[Duration]]/60</f>
        <v>4.0999999999999996</v>
      </c>
      <c r="Z432" s="1">
        <v>2</v>
      </c>
      <c r="AA432" s="1">
        <v>9</v>
      </c>
      <c r="AB432" s="1">
        <v>77</v>
      </c>
    </row>
    <row r="433" spans="1:28">
      <c r="A433" t="s">
        <v>684</v>
      </c>
      <c r="B433" s="1" t="s">
        <v>35</v>
      </c>
      <c r="C433" s="1" t="s">
        <v>24</v>
      </c>
      <c r="D433" s="1">
        <v>2018</v>
      </c>
      <c r="E433" s="3">
        <v>909001996</v>
      </c>
      <c r="F433" s="3" t="str" cm="1">
        <f t="array" ref="F43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33" s="1">
        <v>8109</v>
      </c>
      <c r="H433" s="1">
        <v>62</v>
      </c>
      <c r="I433" s="1">
        <v>34</v>
      </c>
      <c r="J433" s="1">
        <v>2837</v>
      </c>
      <c r="K433" s="1">
        <v>34</v>
      </c>
      <c r="L433" s="1">
        <v>131</v>
      </c>
      <c r="M433" s="1">
        <v>6</v>
      </c>
      <c r="N433" s="1">
        <v>33834</v>
      </c>
      <c r="O433" s="1">
        <v>17</v>
      </c>
      <c r="P433" s="2">
        <f>SUM(STREAMS_STATS[[#This Row],[In Spotify Playlists]],STREAMS_STATS[[#This Row],[In Apple Playlists]],STREAMS_STATS[[#This Row],[In Deezer Playlists]],STREAMS_STATS[[#This Row],[In YouTube Playlists]])</f>
        <v>44911</v>
      </c>
      <c r="Q433" s="1">
        <v>90</v>
      </c>
      <c r="R433" s="1">
        <v>-8</v>
      </c>
      <c r="S433" s="1" t="s">
        <v>68</v>
      </c>
      <c r="T433" s="1">
        <v>58</v>
      </c>
      <c r="U433" s="1">
        <v>66</v>
      </c>
      <c r="V433" s="1">
        <v>12</v>
      </c>
      <c r="W433" s="1">
        <v>45</v>
      </c>
      <c r="X433" s="1">
        <v>193</v>
      </c>
      <c r="Y433" s="5">
        <f>STREAMS_STATS[[#This Row],[Duration]]/60</f>
        <v>3.2166666666666668</v>
      </c>
      <c r="Z433" s="1">
        <v>11</v>
      </c>
      <c r="AA433" s="1">
        <v>5</v>
      </c>
      <c r="AB433" s="1">
        <v>76</v>
      </c>
    </row>
    <row r="434" spans="1:28">
      <c r="A434" t="s">
        <v>685</v>
      </c>
      <c r="B434" s="1" t="s">
        <v>40</v>
      </c>
      <c r="C434" s="1" t="s">
        <v>67</v>
      </c>
      <c r="D434" s="1">
        <v>2017</v>
      </c>
      <c r="E434" s="3">
        <v>1439191367</v>
      </c>
      <c r="F434" s="3" t="str" cm="1">
        <f t="array" ref="F434">_xlfn.IFS(STREAMS_STATS[[#This Row],[Streams]] &gt;= 1000000000, "1B+", STREAMS_STATS[[#This Row],[Streams]] &gt;= 500000000, "500M–1B", STREAMS_STATS[[#This Row],[Streams]] &gt;= 250000000, "250M–500M", TRUE, "Under 250M")</f>
        <v>1B+</v>
      </c>
      <c r="G434" s="1">
        <v>15890</v>
      </c>
      <c r="H434" s="1">
        <v>22</v>
      </c>
      <c r="I434" s="1">
        <v>77</v>
      </c>
      <c r="J434" s="1">
        <v>15561</v>
      </c>
      <c r="K434" s="1">
        <v>77</v>
      </c>
      <c r="L434" s="1">
        <v>133</v>
      </c>
      <c r="M434" s="1">
        <v>12</v>
      </c>
      <c r="N434" s="1">
        <v>16763</v>
      </c>
      <c r="O434" s="1">
        <v>350</v>
      </c>
      <c r="P434" s="2">
        <f>SUM(STREAMS_STATS[[#This Row],[In Spotify Playlists]],STREAMS_STATS[[#This Row],[In Apple Playlists]],STREAMS_STATS[[#This Row],[In Deezer Playlists]],STREAMS_STATS[[#This Row],[In YouTube Playlists]])</f>
        <v>48347</v>
      </c>
      <c r="Q434" s="1">
        <v>159</v>
      </c>
      <c r="R434" s="1">
        <v>-6</v>
      </c>
      <c r="S434" s="1" t="s">
        <v>68</v>
      </c>
      <c r="T434" s="1">
        <v>74</v>
      </c>
      <c r="U434" s="1">
        <v>65</v>
      </c>
      <c r="V434" s="1">
        <v>24</v>
      </c>
      <c r="W434" s="1">
        <v>61</v>
      </c>
      <c r="X434" s="1">
        <v>226</v>
      </c>
      <c r="Y434" s="5">
        <f>STREAMS_STATS[[#This Row],[Duration]]/60</f>
        <v>3.7666666666666666</v>
      </c>
      <c r="Z434" s="1">
        <v>5</v>
      </c>
      <c r="AA434" s="1">
        <v>23</v>
      </c>
      <c r="AB434" s="1">
        <v>80</v>
      </c>
    </row>
    <row r="435" spans="1:28">
      <c r="A435" t="s">
        <v>686</v>
      </c>
      <c r="B435" s="1" t="s">
        <v>687</v>
      </c>
      <c r="C435" s="1" t="s">
        <v>67</v>
      </c>
      <c r="D435" s="1">
        <v>2018</v>
      </c>
      <c r="E435" s="3">
        <v>618885532</v>
      </c>
      <c r="F435" s="3" t="str" cm="1">
        <f t="array" ref="F43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35" s="1">
        <v>5140</v>
      </c>
      <c r="H435" s="1">
        <v>401</v>
      </c>
      <c r="I435" s="1">
        <v>40</v>
      </c>
      <c r="J435" s="1">
        <v>30112</v>
      </c>
      <c r="K435" s="1">
        <v>40</v>
      </c>
      <c r="L435" s="1">
        <v>76</v>
      </c>
      <c r="M435" s="1">
        <v>20</v>
      </c>
      <c r="N435" s="1">
        <v>17081</v>
      </c>
      <c r="O435" s="1">
        <v>42</v>
      </c>
      <c r="P435" s="2">
        <f>SUM(STREAMS_STATS[[#This Row],[In Spotify Playlists]],STREAMS_STATS[[#This Row],[In Apple Playlists]],STREAMS_STATS[[#This Row],[In Deezer Playlists]],STREAMS_STATS[[#This Row],[In YouTube Playlists]])</f>
        <v>52409</v>
      </c>
      <c r="Q435" s="1">
        <v>120</v>
      </c>
      <c r="R435" s="1">
        <v>-5</v>
      </c>
      <c r="S435" s="1" t="s">
        <v>68</v>
      </c>
      <c r="T435" s="1">
        <v>57</v>
      </c>
      <c r="U435" s="1">
        <v>52</v>
      </c>
      <c r="V435" s="1">
        <v>11</v>
      </c>
      <c r="W435" s="1">
        <v>21</v>
      </c>
      <c r="X435" s="1">
        <v>341</v>
      </c>
      <c r="Y435" s="5">
        <f>STREAMS_STATS[[#This Row],[Duration]]/60</f>
        <v>5.6833333333333336</v>
      </c>
      <c r="Z435" s="1">
        <v>3</v>
      </c>
      <c r="AA435" s="1">
        <v>3</v>
      </c>
      <c r="AB435" s="1">
        <v>72</v>
      </c>
    </row>
    <row r="436" spans="1:28">
      <c r="A436" t="s">
        <v>688</v>
      </c>
      <c r="B436" s="1" t="s">
        <v>378</v>
      </c>
      <c r="C436" s="1" t="s">
        <v>13</v>
      </c>
      <c r="D436" s="1">
        <v>2018</v>
      </c>
      <c r="E436" s="3">
        <v>1695712020</v>
      </c>
      <c r="F436" s="3" t="str" cm="1">
        <f t="array" ref="F436">_xlfn.IFS(STREAMS_STATS[[#This Row],[Streams]] &gt;= 1000000000, "1B+", STREAMS_STATS[[#This Row],[Streams]] &gt;= 500000000, "500M–1B", STREAMS_STATS[[#This Row],[Streams]] &gt;= 250000000, "250M–500M", TRUE, "Under 250M")</f>
        <v>1B+</v>
      </c>
      <c r="G436" s="1">
        <v>21164</v>
      </c>
      <c r="H436" s="1">
        <v>21</v>
      </c>
      <c r="I436" s="1">
        <v>60</v>
      </c>
      <c r="J436" s="1">
        <v>26131</v>
      </c>
      <c r="K436" s="1">
        <v>60</v>
      </c>
      <c r="L436" s="1">
        <v>107</v>
      </c>
      <c r="M436" s="1">
        <v>1</v>
      </c>
      <c r="N436" s="1">
        <v>16590</v>
      </c>
      <c r="O436" s="1">
        <v>127</v>
      </c>
      <c r="P436" s="2">
        <f>SUM(STREAMS_STATS[[#This Row],[In Spotify Playlists]],STREAMS_STATS[[#This Row],[In Apple Playlists]],STREAMS_STATS[[#This Row],[In Deezer Playlists]],STREAMS_STATS[[#This Row],[In YouTube Playlists]])</f>
        <v>63992</v>
      </c>
      <c r="Q436" s="1">
        <v>142</v>
      </c>
      <c r="R436" s="1">
        <v>-3</v>
      </c>
      <c r="S436" s="1" t="s">
        <v>68</v>
      </c>
      <c r="T436" s="1">
        <v>76</v>
      </c>
      <c r="U436" s="1">
        <v>52</v>
      </c>
      <c r="V436" s="1">
        <v>17</v>
      </c>
      <c r="W436" s="1">
        <v>29</v>
      </c>
      <c r="X436" s="1">
        <v>181</v>
      </c>
      <c r="Y436" s="5">
        <f>STREAMS_STATS[[#This Row],[Duration]]/60</f>
        <v>3.0166666666666666</v>
      </c>
      <c r="Z436" s="1">
        <v>26</v>
      </c>
      <c r="AA436" s="1">
        <v>9</v>
      </c>
      <c r="AB436" s="1">
        <v>82</v>
      </c>
    </row>
    <row r="437" spans="1:28">
      <c r="A437" t="s">
        <v>689</v>
      </c>
      <c r="B437" s="1" t="s">
        <v>31</v>
      </c>
      <c r="C437" s="1" t="s">
        <v>25</v>
      </c>
      <c r="D437" s="1">
        <v>2015</v>
      </c>
      <c r="E437" s="3">
        <v>596152090</v>
      </c>
      <c r="F437" s="3" t="str" cm="1">
        <f t="array" ref="F43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37" s="1">
        <v>4846</v>
      </c>
      <c r="H437" s="1">
        <v>208</v>
      </c>
      <c r="I437" s="1">
        <v>26</v>
      </c>
      <c r="J437" s="1">
        <v>20393</v>
      </c>
      <c r="K437" s="1">
        <v>26</v>
      </c>
      <c r="L437" s="1">
        <v>17</v>
      </c>
      <c r="M437" s="1">
        <v>24</v>
      </c>
      <c r="N437" s="1">
        <v>20944</v>
      </c>
      <c r="O437" s="1">
        <v>79</v>
      </c>
      <c r="P437" s="2">
        <f>SUM(STREAMS_STATS[[#This Row],[In Spotify Playlists]],STREAMS_STATS[[#This Row],[In Apple Playlists]],STREAMS_STATS[[#This Row],[In Deezer Playlists]],STREAMS_STATS[[#This Row],[In YouTube Playlists]])</f>
        <v>46200</v>
      </c>
      <c r="Q437" s="1">
        <v>120</v>
      </c>
      <c r="R437" s="1">
        <v>-4</v>
      </c>
      <c r="S437" s="1" t="s">
        <v>68</v>
      </c>
      <c r="T437" s="1">
        <v>67</v>
      </c>
      <c r="U437" s="1">
        <v>82</v>
      </c>
      <c r="V437" s="1">
        <v>6</v>
      </c>
      <c r="W437" s="1">
        <v>94</v>
      </c>
      <c r="X437" s="1">
        <v>235</v>
      </c>
      <c r="Y437" s="5">
        <f>STREAMS_STATS[[#This Row],[Duration]]/60</f>
        <v>3.9166666666666665</v>
      </c>
      <c r="Z437" s="1">
        <v>30</v>
      </c>
      <c r="AA437" s="1">
        <v>5</v>
      </c>
      <c r="AB437" s="1">
        <v>71</v>
      </c>
    </row>
    <row r="438" spans="1:28">
      <c r="A438" t="s">
        <v>690</v>
      </c>
      <c r="B438" s="1" t="s">
        <v>34</v>
      </c>
      <c r="C438" s="1" t="s">
        <v>67</v>
      </c>
      <c r="D438" s="1">
        <v>2017</v>
      </c>
      <c r="E438" s="3">
        <v>838586769</v>
      </c>
      <c r="F438" s="3" t="str" cm="1">
        <f t="array" ref="F43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38" s="1">
        <v>7556</v>
      </c>
      <c r="H438" s="1">
        <v>318</v>
      </c>
      <c r="I438" s="1">
        <v>27</v>
      </c>
      <c r="J438" s="1">
        <v>21274</v>
      </c>
      <c r="K438" s="1">
        <v>13</v>
      </c>
      <c r="L438" s="1">
        <v>159</v>
      </c>
      <c r="M438" s="1">
        <v>11</v>
      </c>
      <c r="N438" s="1">
        <v>16197</v>
      </c>
      <c r="O438" s="1">
        <v>311</v>
      </c>
      <c r="P438" s="2">
        <f>SUM(STREAMS_STATS[[#This Row],[In Spotify Playlists]],STREAMS_STATS[[#This Row],[In Apple Playlists]],STREAMS_STATS[[#This Row],[In Deezer Playlists]],STREAMS_STATS[[#This Row],[In YouTube Playlists]])</f>
        <v>45186</v>
      </c>
      <c r="Q438" s="1">
        <v>104</v>
      </c>
      <c r="R438" s="1">
        <v>-3</v>
      </c>
      <c r="S438" s="1" t="s">
        <v>68</v>
      </c>
      <c r="T438" s="1">
        <v>80</v>
      </c>
      <c r="U438" s="1">
        <v>74</v>
      </c>
      <c r="V438" s="1">
        <v>25</v>
      </c>
      <c r="W438" s="1">
        <v>51</v>
      </c>
      <c r="X438" s="1">
        <v>231</v>
      </c>
      <c r="Y438" s="5">
        <f>STREAMS_STATS[[#This Row],[Duration]]/60</f>
        <v>3.85</v>
      </c>
      <c r="Z438" s="1">
        <v>50</v>
      </c>
      <c r="AA438" s="1">
        <v>5</v>
      </c>
      <c r="AB438" s="1">
        <v>75</v>
      </c>
    </row>
    <row r="439" spans="1:28">
      <c r="A439" t="s">
        <v>691</v>
      </c>
      <c r="B439" s="1" t="s">
        <v>692</v>
      </c>
      <c r="C439" s="1" t="s">
        <v>67</v>
      </c>
      <c r="D439" s="1">
        <v>2017</v>
      </c>
      <c r="E439" s="3">
        <v>355219175</v>
      </c>
      <c r="F439" s="3" t="str" cm="1">
        <f t="array" ref="F43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39" s="1">
        <v>2785</v>
      </c>
      <c r="H439" s="1">
        <v>155</v>
      </c>
      <c r="I439" s="1">
        <v>6</v>
      </c>
      <c r="J439" s="1">
        <v>38482</v>
      </c>
      <c r="K439" s="1">
        <v>6</v>
      </c>
      <c r="L439" s="1">
        <v>46</v>
      </c>
      <c r="M439" s="1">
        <v>48</v>
      </c>
      <c r="N439" s="1">
        <v>39572</v>
      </c>
      <c r="O439" s="1">
        <v>368</v>
      </c>
      <c r="P439" s="2">
        <f>SUM(STREAMS_STATS[[#This Row],[In Spotify Playlists]],STREAMS_STATS[[#This Row],[In Apple Playlists]],STREAMS_STATS[[#This Row],[In Deezer Playlists]],STREAMS_STATS[[#This Row],[In YouTube Playlists]])</f>
        <v>80885</v>
      </c>
      <c r="Q439" s="1">
        <v>86</v>
      </c>
      <c r="R439" s="1">
        <v>-7</v>
      </c>
      <c r="S439" s="1" t="s">
        <v>68</v>
      </c>
      <c r="T439" s="1">
        <v>42</v>
      </c>
      <c r="U439" s="1">
        <v>74</v>
      </c>
      <c r="V439" s="1">
        <v>6</v>
      </c>
      <c r="W439" s="1">
        <v>85</v>
      </c>
      <c r="X439" s="1">
        <v>188</v>
      </c>
      <c r="Y439" s="5">
        <f>STREAMS_STATS[[#This Row],[Duration]]/60</f>
        <v>3.1333333333333333</v>
      </c>
      <c r="Z439" s="1">
        <v>1</v>
      </c>
      <c r="AA439" s="1">
        <v>5</v>
      </c>
      <c r="AB439" s="1">
        <v>64</v>
      </c>
    </row>
    <row r="440" spans="1:28">
      <c r="A440" t="s">
        <v>693</v>
      </c>
      <c r="B440" s="1" t="s">
        <v>694</v>
      </c>
      <c r="C440" s="1" t="s">
        <v>695</v>
      </c>
      <c r="D440" s="1">
        <v>2012</v>
      </c>
      <c r="E440" s="3">
        <v>675039469</v>
      </c>
      <c r="F440" s="3" t="str" cm="1">
        <f t="array" ref="F44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40" s="1">
        <v>5724</v>
      </c>
      <c r="H440" s="1">
        <v>139</v>
      </c>
      <c r="I440" s="1">
        <v>244</v>
      </c>
      <c r="J440" s="1">
        <v>26788</v>
      </c>
      <c r="K440" s="1">
        <v>86</v>
      </c>
      <c r="L440" s="1">
        <v>2312</v>
      </c>
      <c r="M440" s="1">
        <v>74</v>
      </c>
      <c r="N440" s="1">
        <v>10902</v>
      </c>
      <c r="O440" s="1">
        <v>391</v>
      </c>
      <c r="P440" s="2">
        <f>SUM(STREAMS_STATS[[#This Row],[In Spotify Playlists]],STREAMS_STATS[[#This Row],[In Apple Playlists]],STREAMS_STATS[[#This Row],[In Deezer Playlists]],STREAMS_STATS[[#This Row],[In YouTube Playlists]])</f>
        <v>45726</v>
      </c>
      <c r="Q440" s="1">
        <v>108</v>
      </c>
      <c r="R440" s="1">
        <v>-7</v>
      </c>
      <c r="S440" s="1" t="s">
        <v>68</v>
      </c>
      <c r="T440" s="1">
        <v>74</v>
      </c>
      <c r="U440" s="1">
        <v>67</v>
      </c>
      <c r="V440" s="1">
        <v>9</v>
      </c>
      <c r="W440" s="1">
        <v>39</v>
      </c>
      <c r="X440" s="1">
        <v>277</v>
      </c>
      <c r="Y440" s="5">
        <f>STREAMS_STATS[[#This Row],[Duration]]/60</f>
        <v>4.6166666666666663</v>
      </c>
      <c r="Z440" s="1">
        <v>2</v>
      </c>
      <c r="AA440" s="1">
        <v>5</v>
      </c>
      <c r="AB440" s="1">
        <v>72</v>
      </c>
    </row>
    <row r="441" spans="1:28">
      <c r="A441" t="s">
        <v>696</v>
      </c>
      <c r="B441" s="1" t="s">
        <v>36</v>
      </c>
      <c r="C441" s="1" t="s">
        <v>107</v>
      </c>
      <c r="D441" s="1">
        <v>2011</v>
      </c>
      <c r="E441" s="3">
        <v>3743895074</v>
      </c>
      <c r="F441" s="3" t="str" cm="1">
        <f t="array" ref="F441">_xlfn.IFS(STREAMS_STATS[[#This Row],[Streams]] &gt;= 1000000000, "1B+", STREAMS_STATS[[#This Row],[Streams]] &gt;= 500000000, "500M–1B", STREAMS_STATS[[#This Row],[Streams]] &gt;= 250000000, "250M–500M", TRUE, "Under 250M")</f>
        <v>1B+</v>
      </c>
      <c r="G441" s="1">
        <v>60979</v>
      </c>
      <c r="H441" s="1">
        <v>1</v>
      </c>
      <c r="I441" s="1">
        <v>1</v>
      </c>
      <c r="J441" s="1">
        <v>776</v>
      </c>
      <c r="K441" s="1">
        <v>87</v>
      </c>
      <c r="L441" s="1">
        <v>9944</v>
      </c>
      <c r="M441" s="1">
        <v>161</v>
      </c>
      <c r="N441" s="1">
        <v>60252</v>
      </c>
      <c r="O441" s="1">
        <v>107</v>
      </c>
      <c r="P441" s="2">
        <f>SUM(STREAMS_STATS[[#This Row],[In Spotify Playlists]],STREAMS_STATS[[#This Row],[In Apple Playlists]],STREAMS_STATS[[#This Row],[In Deezer Playlists]],STREAMS_STATS[[#This Row],[In YouTube Playlists]])</f>
        <v>131951</v>
      </c>
      <c r="Q441" s="1">
        <v>135</v>
      </c>
      <c r="R441" s="1">
        <v>-8</v>
      </c>
      <c r="S441" s="1" t="s">
        <v>68</v>
      </c>
      <c r="T441" s="1">
        <v>33</v>
      </c>
      <c r="U441" s="1">
        <v>56</v>
      </c>
      <c r="V441" s="1">
        <v>10</v>
      </c>
      <c r="W441" s="1">
        <v>28</v>
      </c>
      <c r="X441" s="1">
        <v>285</v>
      </c>
      <c r="Y441" s="5">
        <f>STREAMS_STATS[[#This Row],[Duration]]/60</f>
        <v>4.75</v>
      </c>
      <c r="Z441" s="1">
        <v>89</v>
      </c>
      <c r="AA441" s="1">
        <v>3</v>
      </c>
      <c r="AB441" s="1">
        <v>98</v>
      </c>
    </row>
    <row r="442" spans="1:28">
      <c r="A442" t="s">
        <v>697</v>
      </c>
      <c r="B442" s="1" t="s">
        <v>698</v>
      </c>
      <c r="C442" s="1" t="s">
        <v>25</v>
      </c>
      <c r="D442" s="1">
        <v>2019</v>
      </c>
      <c r="E442" s="3">
        <v>2887241814</v>
      </c>
      <c r="F442" s="3" t="str" cm="1">
        <f t="array" ref="F442">_xlfn.IFS(STREAMS_STATS[[#This Row],[Streams]] &gt;= 1000000000, "1B+", STREAMS_STATS[[#This Row],[Streams]] &gt;= 500000000, "500M–1B", STREAMS_STATS[[#This Row],[Streams]] &gt;= 250000000, "250M–500M", TRUE, "Under 250M")</f>
        <v>1B+</v>
      </c>
      <c r="G442" s="1">
        <v>50887</v>
      </c>
      <c r="H442" s="1">
        <v>1</v>
      </c>
      <c r="I442" s="1">
        <v>114</v>
      </c>
      <c r="J442" s="1">
        <v>60069</v>
      </c>
      <c r="K442" s="1">
        <v>114</v>
      </c>
      <c r="L442" s="2">
        <v>1481</v>
      </c>
      <c r="M442" s="1">
        <v>15</v>
      </c>
      <c r="N442" s="1">
        <v>3169</v>
      </c>
      <c r="O442" s="1">
        <v>282</v>
      </c>
      <c r="P442" s="2">
        <f>SUM(STREAMS_STATS[[#This Row],[In Spotify Playlists]],STREAMS_STATS[[#This Row],[In Apple Playlists]],STREAMS_STATS[[#This Row],[In Deezer Playlists]],STREAMS_STATS[[#This Row],[In YouTube Playlists]])</f>
        <v>115606</v>
      </c>
      <c r="Q442" s="1">
        <v>110</v>
      </c>
      <c r="R442" s="1">
        <v>-6</v>
      </c>
      <c r="S442" s="1" t="s">
        <v>68</v>
      </c>
      <c r="T442" s="1">
        <v>41</v>
      </c>
      <c r="U442" s="1">
        <v>50</v>
      </c>
      <c r="V442" s="1">
        <v>11</v>
      </c>
      <c r="W442" s="1">
        <v>45</v>
      </c>
      <c r="X442" s="1">
        <v>182</v>
      </c>
      <c r="Y442" s="5">
        <f>STREAMS_STATS[[#This Row],[Duration]]/60</f>
        <v>3.0333333333333332</v>
      </c>
      <c r="Z442" s="1">
        <v>75</v>
      </c>
      <c r="AA442" s="1">
        <v>3</v>
      </c>
      <c r="AB442" s="1">
        <v>96</v>
      </c>
    </row>
    <row r="443" spans="1:28">
      <c r="A443" t="s">
        <v>699</v>
      </c>
      <c r="B443" s="1" t="s">
        <v>35</v>
      </c>
      <c r="C443" s="1" t="s">
        <v>24</v>
      </c>
      <c r="D443" s="1">
        <v>2017</v>
      </c>
      <c r="E443" s="3">
        <v>1200808494</v>
      </c>
      <c r="F443" s="3" t="str" cm="1">
        <f t="array" ref="F443">_xlfn.IFS(STREAMS_STATS[[#This Row],[Streams]] &gt;= 1000000000, "1B+", STREAMS_STATS[[#This Row],[Streams]] &gt;= 500000000, "500M–1B", STREAMS_STATS[[#This Row],[Streams]] &gt;= 250000000, "250M–500M", TRUE, "Under 250M")</f>
        <v>1B+</v>
      </c>
      <c r="G443" s="1">
        <v>11500</v>
      </c>
      <c r="H443" s="1">
        <v>65</v>
      </c>
      <c r="I443" s="1">
        <v>96</v>
      </c>
      <c r="J443" s="1">
        <v>17900</v>
      </c>
      <c r="K443" s="1">
        <v>96</v>
      </c>
      <c r="L443" s="1">
        <v>43</v>
      </c>
      <c r="M443" s="1">
        <v>18</v>
      </c>
      <c r="N443" s="1">
        <v>21155</v>
      </c>
      <c r="O443" s="1">
        <v>288</v>
      </c>
      <c r="P443" s="2">
        <f>SUM(STREAMS_STATS[[#This Row],[In Spotify Playlists]],STREAMS_STATS[[#This Row],[In Apple Playlists]],STREAMS_STATS[[#This Row],[In Deezer Playlists]],STREAMS_STATS[[#This Row],[In YouTube Playlists]])</f>
        <v>50598</v>
      </c>
      <c r="Q443" s="1">
        <v>103</v>
      </c>
      <c r="R443" s="1">
        <v>-7</v>
      </c>
      <c r="S443" s="1" t="s">
        <v>75</v>
      </c>
      <c r="T443" s="1">
        <v>65</v>
      </c>
      <c r="U443" s="1">
        <v>61</v>
      </c>
      <c r="V443" s="1">
        <v>17</v>
      </c>
      <c r="W443" s="1">
        <v>51</v>
      </c>
      <c r="X443" s="1">
        <v>248</v>
      </c>
      <c r="Y443" s="5">
        <f>STREAMS_STATS[[#This Row],[Duration]]/60</f>
        <v>4.1333333333333337</v>
      </c>
      <c r="Z443" s="1">
        <v>3</v>
      </c>
      <c r="AA443" s="1">
        <v>4</v>
      </c>
      <c r="AB443" s="1">
        <v>78</v>
      </c>
    </row>
    <row r="444" spans="1:28">
      <c r="A444" t="s">
        <v>700</v>
      </c>
      <c r="B444" s="1" t="s">
        <v>190</v>
      </c>
      <c r="C444" s="1" t="s">
        <v>67</v>
      </c>
      <c r="D444" s="1">
        <v>2010</v>
      </c>
      <c r="E444" s="3">
        <v>295998468</v>
      </c>
      <c r="F444" s="3" t="str" cm="1">
        <f t="array" ref="F44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44" s="1">
        <v>2264</v>
      </c>
      <c r="H444" s="1">
        <v>300</v>
      </c>
      <c r="I444" s="1">
        <v>121</v>
      </c>
      <c r="J444" s="1">
        <v>15186</v>
      </c>
      <c r="K444" s="1">
        <v>84</v>
      </c>
      <c r="L444" s="1">
        <v>6451</v>
      </c>
      <c r="M444" s="1">
        <v>154</v>
      </c>
      <c r="N444" s="1">
        <v>26500</v>
      </c>
      <c r="O444" s="1">
        <v>272</v>
      </c>
      <c r="P444" s="2">
        <f>SUM(STREAMS_STATS[[#This Row],[In Spotify Playlists]],STREAMS_STATS[[#This Row],[In Apple Playlists]],STREAMS_STATS[[#This Row],[In Deezer Playlists]],STREAMS_STATS[[#This Row],[In YouTube Playlists]])</f>
        <v>50401</v>
      </c>
      <c r="Q444" s="1">
        <v>150</v>
      </c>
      <c r="R444" s="1">
        <v>-4</v>
      </c>
      <c r="S444" s="1" t="s">
        <v>68</v>
      </c>
      <c r="T444" s="1">
        <v>85</v>
      </c>
      <c r="U444" s="1">
        <v>51</v>
      </c>
      <c r="V444" s="1">
        <v>12</v>
      </c>
      <c r="W444" s="1">
        <v>72</v>
      </c>
      <c r="X444" s="1">
        <v>185</v>
      </c>
      <c r="Y444" s="5">
        <f>STREAMS_STATS[[#This Row],[Duration]]/60</f>
        <v>3.0833333333333335</v>
      </c>
      <c r="Z444" s="1">
        <v>47</v>
      </c>
      <c r="AA444" s="1">
        <v>27</v>
      </c>
      <c r="AB444" s="1">
        <v>58</v>
      </c>
    </row>
    <row r="445" spans="1:28">
      <c r="A445" t="s">
        <v>701</v>
      </c>
      <c r="B445" s="1" t="s">
        <v>37</v>
      </c>
      <c r="C445" s="1" t="s">
        <v>134</v>
      </c>
      <c r="D445" s="1">
        <v>2015</v>
      </c>
      <c r="E445" s="3">
        <v>1624165576</v>
      </c>
      <c r="F445" s="3" t="str" cm="1">
        <f t="array" ref="F445">_xlfn.IFS(STREAMS_STATS[[#This Row],[Streams]] &gt;= 1000000000, "1B+", STREAMS_STATS[[#This Row],[Streams]] &gt;= 500000000, "500M–1B", STREAMS_STATS[[#This Row],[Streams]] &gt;= 250000000, "250M–500M", TRUE, "Under 250M")</f>
        <v>1B+</v>
      </c>
      <c r="G445" s="1">
        <v>20015</v>
      </c>
      <c r="H445" s="1">
        <v>24</v>
      </c>
      <c r="I445" s="1">
        <v>15</v>
      </c>
      <c r="J445" s="1">
        <v>21714</v>
      </c>
      <c r="K445" s="1">
        <v>15</v>
      </c>
      <c r="L445" s="1">
        <v>13</v>
      </c>
      <c r="M445" s="1">
        <v>11</v>
      </c>
      <c r="N445" s="1">
        <v>8127</v>
      </c>
      <c r="O445" s="1">
        <v>201</v>
      </c>
      <c r="P445" s="2">
        <f>SUM(STREAMS_STATS[[#This Row],[In Spotify Playlists]],STREAMS_STATS[[#This Row],[In Apple Playlists]],STREAMS_STATS[[#This Row],[In Deezer Playlists]],STREAMS_STATS[[#This Row],[In YouTube Playlists]])</f>
        <v>49869</v>
      </c>
      <c r="Q445" s="1">
        <v>100</v>
      </c>
      <c r="R445" s="1">
        <v>-4</v>
      </c>
      <c r="S445" s="1" t="s">
        <v>68</v>
      </c>
      <c r="T445" s="1">
        <v>76</v>
      </c>
      <c r="U445" s="1">
        <v>65</v>
      </c>
      <c r="V445" s="1">
        <v>30</v>
      </c>
      <c r="W445" s="1">
        <v>41</v>
      </c>
      <c r="X445" s="1">
        <v>201</v>
      </c>
      <c r="Y445" s="5">
        <f>STREAMS_STATS[[#This Row],[Duration]]/60</f>
        <v>3.35</v>
      </c>
      <c r="Z445" s="1">
        <v>8</v>
      </c>
      <c r="AA445" s="1">
        <v>5</v>
      </c>
      <c r="AB445" s="1">
        <v>81</v>
      </c>
    </row>
    <row r="446" spans="1:28">
      <c r="A446" t="s">
        <v>702</v>
      </c>
      <c r="B446" s="1" t="s">
        <v>179</v>
      </c>
      <c r="C446" s="1" t="s">
        <v>67</v>
      </c>
      <c r="D446" s="1">
        <v>2018</v>
      </c>
      <c r="E446" s="3">
        <v>1592909789</v>
      </c>
      <c r="F446" s="3" t="str" cm="1">
        <f t="array" ref="F446">_xlfn.IFS(STREAMS_STATS[[#This Row],[Streams]] &gt;= 1000000000, "1B+", STREAMS_STATS[[#This Row],[Streams]] &gt;= 500000000, "500M–1B", STREAMS_STATS[[#This Row],[Streams]] &gt;= 250000000, "250M–500M", TRUE, "Under 250M")</f>
        <v>1B+</v>
      </c>
      <c r="G446" s="1">
        <v>18773</v>
      </c>
      <c r="H446" s="1">
        <v>47</v>
      </c>
      <c r="I446" s="1">
        <v>133</v>
      </c>
      <c r="J446" s="1">
        <v>22644</v>
      </c>
      <c r="K446" s="1">
        <v>133</v>
      </c>
      <c r="L446" s="1">
        <v>283</v>
      </c>
      <c r="M446" s="1">
        <v>49</v>
      </c>
      <c r="N446" s="1">
        <v>15861</v>
      </c>
      <c r="O446" s="1">
        <v>208</v>
      </c>
      <c r="P446" s="2">
        <f>SUM(STREAMS_STATS[[#This Row],[In Spotify Playlists]],STREAMS_STATS[[#This Row],[In Apple Playlists]],STREAMS_STATS[[#This Row],[In Deezer Playlists]],STREAMS_STATS[[#This Row],[In YouTube Playlists]])</f>
        <v>57561</v>
      </c>
      <c r="Q446" s="1">
        <v>144</v>
      </c>
      <c r="R446" s="1">
        <v>-7</v>
      </c>
      <c r="S446" s="1" t="s">
        <v>75</v>
      </c>
      <c r="T446" s="1">
        <v>64</v>
      </c>
      <c r="U446" s="1">
        <v>71</v>
      </c>
      <c r="V446" s="1">
        <v>26</v>
      </c>
      <c r="W446" s="1">
        <v>89</v>
      </c>
      <c r="X446" s="1">
        <v>204</v>
      </c>
      <c r="Y446" s="5">
        <f>STREAMS_STATS[[#This Row],[Duration]]/60</f>
        <v>3.4</v>
      </c>
      <c r="Z446" s="1">
        <v>2</v>
      </c>
      <c r="AA446" s="1">
        <v>23</v>
      </c>
      <c r="AB446" s="1">
        <v>81</v>
      </c>
    </row>
    <row r="447" spans="1:28">
      <c r="A447" t="s">
        <v>703</v>
      </c>
      <c r="B447" s="1" t="s">
        <v>31</v>
      </c>
      <c r="C447" s="1" t="s">
        <v>25</v>
      </c>
      <c r="D447" s="1">
        <v>2019</v>
      </c>
      <c r="E447" s="3">
        <v>2713922350</v>
      </c>
      <c r="F447" s="3" t="str" cm="1">
        <f t="array" ref="F447">_xlfn.IFS(STREAMS_STATS[[#This Row],[Streams]] &gt;= 1000000000, "1B+", STREAMS_STATS[[#This Row],[Streams]] &gt;= 500000000, "500M–1B", STREAMS_STATS[[#This Row],[Streams]] &gt;= 250000000, "250M–500M", TRUE, "Under 250M")</f>
        <v>1B+</v>
      </c>
      <c r="G447" s="1">
        <v>43899</v>
      </c>
      <c r="H447" s="1">
        <v>1</v>
      </c>
      <c r="I447" s="1">
        <v>61</v>
      </c>
      <c r="J447" s="1">
        <v>11572</v>
      </c>
      <c r="K447" s="1">
        <v>40</v>
      </c>
      <c r="L447" s="1">
        <v>5</v>
      </c>
      <c r="M447" s="1">
        <v>45</v>
      </c>
      <c r="N447" s="1">
        <v>11857</v>
      </c>
      <c r="O447" s="1">
        <v>86</v>
      </c>
      <c r="P447" s="2">
        <f>SUM(STREAMS_STATS[[#This Row],[In Spotify Playlists]],STREAMS_STATS[[#This Row],[In Apple Playlists]],STREAMS_STATS[[#This Row],[In Deezer Playlists]],STREAMS_STATS[[#This Row],[In YouTube Playlists]])</f>
        <v>67333</v>
      </c>
      <c r="Q447" s="1">
        <v>98</v>
      </c>
      <c r="R447" s="1">
        <v>-6</v>
      </c>
      <c r="S447" s="1" t="s">
        <v>68</v>
      </c>
      <c r="T447" s="1">
        <v>62</v>
      </c>
      <c r="U447" s="1">
        <v>86</v>
      </c>
      <c r="V447" s="1">
        <v>9</v>
      </c>
      <c r="W447" s="1">
        <v>67</v>
      </c>
      <c r="X447" s="1">
        <v>204</v>
      </c>
      <c r="Y447" s="5">
        <f>STREAMS_STATS[[#This Row],[Duration]]/60</f>
        <v>3.4</v>
      </c>
      <c r="Z447" s="1">
        <v>15</v>
      </c>
      <c r="AA447" s="1">
        <v>8</v>
      </c>
      <c r="AB447" s="1">
        <v>92</v>
      </c>
    </row>
    <row r="448" spans="1:28">
      <c r="A448" t="s">
        <v>704</v>
      </c>
      <c r="B448" s="1" t="s">
        <v>136</v>
      </c>
      <c r="C448" s="1" t="s">
        <v>67</v>
      </c>
      <c r="D448" s="1">
        <v>2015</v>
      </c>
      <c r="E448" s="3">
        <v>221409663</v>
      </c>
      <c r="F448" s="3" t="str" cm="1">
        <f t="array" ref="F44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48" s="1">
        <v>1524</v>
      </c>
      <c r="H448" s="1">
        <v>117</v>
      </c>
      <c r="I448" s="1">
        <v>63</v>
      </c>
      <c r="J448" s="1">
        <v>39391</v>
      </c>
      <c r="K448" s="1">
        <v>63</v>
      </c>
      <c r="L448" s="1">
        <v>91</v>
      </c>
      <c r="M448" s="1">
        <v>19</v>
      </c>
      <c r="N448" s="1">
        <v>31294</v>
      </c>
      <c r="O448" s="1">
        <v>294</v>
      </c>
      <c r="P448" s="2">
        <f>SUM(STREAMS_STATS[[#This Row],[In Spotify Playlists]],STREAMS_STATS[[#This Row],[In Apple Playlists]],STREAMS_STATS[[#This Row],[In Deezer Playlists]],STREAMS_STATS[[#This Row],[In YouTube Playlists]])</f>
        <v>72300</v>
      </c>
      <c r="Q448" s="1">
        <v>120</v>
      </c>
      <c r="R448" s="1">
        <v>-4</v>
      </c>
      <c r="S448" s="1" t="s">
        <v>75</v>
      </c>
      <c r="T448" s="1">
        <v>80</v>
      </c>
      <c r="U448" s="1">
        <v>88</v>
      </c>
      <c r="V448" s="1">
        <v>20</v>
      </c>
      <c r="W448" s="1">
        <v>54</v>
      </c>
      <c r="X448" s="1">
        <v>202</v>
      </c>
      <c r="Y448" s="5">
        <f>STREAMS_STATS[[#This Row],[Duration]]/60</f>
        <v>3.3666666666666667</v>
      </c>
      <c r="Z448" s="1">
        <v>8</v>
      </c>
      <c r="AA448" s="1">
        <v>6</v>
      </c>
      <c r="AB448" s="1">
        <v>39</v>
      </c>
    </row>
    <row r="449" spans="1:28">
      <c r="A449" t="s">
        <v>705</v>
      </c>
      <c r="B449" s="1" t="s">
        <v>493</v>
      </c>
      <c r="C449" s="1" t="s">
        <v>67</v>
      </c>
      <c r="D449" s="1">
        <v>2015</v>
      </c>
      <c r="E449" s="3">
        <v>229473310</v>
      </c>
      <c r="F449" s="3" t="str" cm="1">
        <f t="array" ref="F449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49" s="1">
        <v>1602</v>
      </c>
      <c r="H449" s="1">
        <v>416</v>
      </c>
      <c r="I449" s="1">
        <v>92</v>
      </c>
      <c r="J449" s="1">
        <v>10029</v>
      </c>
      <c r="K449" s="1">
        <v>92</v>
      </c>
      <c r="L449" s="2">
        <v>2733</v>
      </c>
      <c r="M449" s="1">
        <v>1</v>
      </c>
      <c r="N449" s="1">
        <v>21188</v>
      </c>
      <c r="O449" s="1">
        <v>269</v>
      </c>
      <c r="P449" s="2">
        <f>SUM(STREAMS_STATS[[#This Row],[In Spotify Playlists]],STREAMS_STATS[[#This Row],[In Apple Playlists]],STREAMS_STATS[[#This Row],[In Deezer Playlists]],STREAMS_STATS[[#This Row],[In YouTube Playlists]])</f>
        <v>35552</v>
      </c>
      <c r="Q449" s="1">
        <v>122</v>
      </c>
      <c r="R449" s="1">
        <v>-5</v>
      </c>
      <c r="S449" s="1" t="s">
        <v>68</v>
      </c>
      <c r="T449" s="1">
        <v>88</v>
      </c>
      <c r="U449" s="1">
        <v>85</v>
      </c>
      <c r="V449" s="1">
        <v>10</v>
      </c>
      <c r="W449" s="1">
        <v>79</v>
      </c>
      <c r="X449" s="1">
        <v>186</v>
      </c>
      <c r="Y449" s="5">
        <f>STREAMS_STATS[[#This Row],[Duration]]/60</f>
        <v>3.1</v>
      </c>
      <c r="Z449" s="1">
        <v>4</v>
      </c>
      <c r="AA449" s="1">
        <v>6</v>
      </c>
      <c r="AB449" s="1">
        <v>44</v>
      </c>
    </row>
    <row r="450" spans="1:28">
      <c r="A450" t="s">
        <v>706</v>
      </c>
      <c r="B450" s="1" t="s">
        <v>286</v>
      </c>
      <c r="C450" s="1" t="s">
        <v>287</v>
      </c>
      <c r="D450" s="1">
        <v>2015</v>
      </c>
      <c r="E450" s="3">
        <v>236940480</v>
      </c>
      <c r="F450" s="3" t="str" cm="1">
        <f t="array" ref="F45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50" s="1">
        <v>1657</v>
      </c>
      <c r="H450" s="1">
        <v>190</v>
      </c>
      <c r="I450" s="1">
        <v>51</v>
      </c>
      <c r="J450" s="1">
        <v>31220</v>
      </c>
      <c r="K450" s="1">
        <v>51</v>
      </c>
      <c r="L450" s="1">
        <v>32</v>
      </c>
      <c r="M450" s="1">
        <v>2</v>
      </c>
      <c r="N450" s="1">
        <v>12956</v>
      </c>
      <c r="O450" s="1">
        <v>292</v>
      </c>
      <c r="P450" s="2">
        <f>SUM(STREAMS_STATS[[#This Row],[In Spotify Playlists]],STREAMS_STATS[[#This Row],[In Apple Playlists]],STREAMS_STATS[[#This Row],[In Deezer Playlists]],STREAMS_STATS[[#This Row],[In YouTube Playlists]])</f>
        <v>45865</v>
      </c>
      <c r="Q450" s="1">
        <v>117</v>
      </c>
      <c r="R450" s="1">
        <v>-11</v>
      </c>
      <c r="S450" s="1" t="s">
        <v>68</v>
      </c>
      <c r="T450" s="1">
        <v>43</v>
      </c>
      <c r="U450" s="1">
        <v>26</v>
      </c>
      <c r="V450" s="1">
        <v>11</v>
      </c>
      <c r="W450" s="1">
        <v>9</v>
      </c>
      <c r="X450" s="1">
        <v>225</v>
      </c>
      <c r="Y450" s="5">
        <f>STREAMS_STATS[[#This Row],[Duration]]/60</f>
        <v>3.75</v>
      </c>
      <c r="Z450" s="1">
        <v>75</v>
      </c>
      <c r="AA450" s="1">
        <v>3</v>
      </c>
      <c r="AB450" s="1">
        <v>47</v>
      </c>
    </row>
    <row r="451" spans="1:28">
      <c r="A451" t="s">
        <v>707</v>
      </c>
      <c r="B451" s="1" t="s">
        <v>307</v>
      </c>
      <c r="C451" s="1" t="s">
        <v>23</v>
      </c>
      <c r="D451" s="1">
        <v>2017</v>
      </c>
      <c r="E451" s="3">
        <v>2204080728</v>
      </c>
      <c r="F451" s="3" t="str" cm="1">
        <f t="array" ref="F451">_xlfn.IFS(STREAMS_STATS[[#This Row],[Streams]] &gt;= 1000000000, "1B+", STREAMS_STATS[[#This Row],[Streams]] &gt;= 500000000, "500M–1B", STREAMS_STATS[[#This Row],[Streams]] &gt;= 250000000, "250M–500M", TRUE, "Under 250M")</f>
        <v>1B+</v>
      </c>
      <c r="G451" s="1">
        <v>31123</v>
      </c>
      <c r="H451" s="1">
        <v>4</v>
      </c>
      <c r="I451" s="1">
        <v>13</v>
      </c>
      <c r="J451" s="1">
        <v>12978</v>
      </c>
      <c r="K451" s="1">
        <v>13</v>
      </c>
      <c r="L451" s="1">
        <v>32</v>
      </c>
      <c r="M451" s="1">
        <v>21</v>
      </c>
      <c r="N451" s="1">
        <v>17264</v>
      </c>
      <c r="O451" s="1">
        <v>34</v>
      </c>
      <c r="P451" s="2">
        <f>SUM(STREAMS_STATS[[#This Row],[In Spotify Playlists]],STREAMS_STATS[[#This Row],[In Apple Playlists]],STREAMS_STATS[[#This Row],[In Deezer Playlists]],STREAMS_STATS[[#This Row],[In YouTube Playlists]])</f>
        <v>61397</v>
      </c>
      <c r="Q451" s="1">
        <v>186</v>
      </c>
      <c r="R451" s="1">
        <v>-7</v>
      </c>
      <c r="S451" s="1" t="s">
        <v>68</v>
      </c>
      <c r="T451" s="1">
        <v>59</v>
      </c>
      <c r="U451" s="1">
        <v>68</v>
      </c>
      <c r="V451" s="1">
        <v>14</v>
      </c>
      <c r="W451" s="1">
        <v>49</v>
      </c>
      <c r="X451" s="1">
        <v>230</v>
      </c>
      <c r="Y451" s="5">
        <f>STREAMS_STATS[[#This Row],[Duration]]/60</f>
        <v>3.8333333333333335</v>
      </c>
      <c r="Z451" s="1">
        <v>14</v>
      </c>
      <c r="AA451" s="1">
        <v>28</v>
      </c>
      <c r="AB451" s="1">
        <v>85</v>
      </c>
    </row>
    <row r="452" spans="1:28">
      <c r="A452" t="s">
        <v>708</v>
      </c>
      <c r="B452" s="1" t="s">
        <v>117</v>
      </c>
      <c r="C452" s="1" t="s">
        <v>67</v>
      </c>
      <c r="D452" s="1">
        <v>2012</v>
      </c>
      <c r="E452" s="3">
        <v>741301563</v>
      </c>
      <c r="F452" s="3" t="str" cm="1">
        <f t="array" ref="F45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52" s="1">
        <v>6518</v>
      </c>
      <c r="H452" s="1">
        <v>123</v>
      </c>
      <c r="I452" s="1">
        <v>405</v>
      </c>
      <c r="J452" s="1">
        <v>11608</v>
      </c>
      <c r="K452" s="1">
        <v>87</v>
      </c>
      <c r="L452" s="1">
        <v>7865</v>
      </c>
      <c r="M452" s="1">
        <v>109</v>
      </c>
      <c r="N452" s="1">
        <v>24054</v>
      </c>
      <c r="O452" s="1">
        <v>82</v>
      </c>
      <c r="P452" s="2">
        <f>SUM(STREAMS_STATS[[#This Row],[In Spotify Playlists]],STREAMS_STATS[[#This Row],[In Apple Playlists]],STREAMS_STATS[[#This Row],[In Deezer Playlists]],STREAMS_STATS[[#This Row],[In YouTube Playlists]])</f>
        <v>50045</v>
      </c>
      <c r="Q452" s="1">
        <v>125</v>
      </c>
      <c r="R452" s="1">
        <v>-2</v>
      </c>
      <c r="S452" s="1" t="s">
        <v>68</v>
      </c>
      <c r="T452" s="1">
        <v>72</v>
      </c>
      <c r="U452" s="1">
        <v>75</v>
      </c>
      <c r="V452" s="1">
        <v>25</v>
      </c>
      <c r="W452" s="1">
        <v>75</v>
      </c>
      <c r="X452" s="1">
        <v>211</v>
      </c>
      <c r="Y452" s="5">
        <f>STREAMS_STATS[[#This Row],[Duration]]/60</f>
        <v>3.5166666666666666</v>
      </c>
      <c r="Z452" s="1">
        <v>14</v>
      </c>
      <c r="AA452" s="1">
        <v>8</v>
      </c>
      <c r="AB452" s="1">
        <v>73</v>
      </c>
    </row>
    <row r="453" spans="1:28">
      <c r="A453" t="s">
        <v>709</v>
      </c>
      <c r="B453" s="1" t="s">
        <v>109</v>
      </c>
      <c r="C453" s="1" t="s">
        <v>110</v>
      </c>
      <c r="D453" s="1">
        <v>2016</v>
      </c>
      <c r="E453" s="3">
        <v>236872197</v>
      </c>
      <c r="F453" s="3" t="str" cm="1">
        <f t="array" ref="F453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53" s="1">
        <v>1652</v>
      </c>
      <c r="H453" s="1">
        <v>104</v>
      </c>
      <c r="I453" s="1">
        <v>2</v>
      </c>
      <c r="J453" s="1">
        <v>7758</v>
      </c>
      <c r="K453" s="1">
        <v>2</v>
      </c>
      <c r="L453" s="1">
        <v>38</v>
      </c>
      <c r="M453" s="1">
        <v>2</v>
      </c>
      <c r="N453" s="1">
        <v>9162</v>
      </c>
      <c r="O453" s="1">
        <v>381</v>
      </c>
      <c r="P453" s="2">
        <f>SUM(STREAMS_STATS[[#This Row],[In Spotify Playlists]],STREAMS_STATS[[#This Row],[In Apple Playlists]],STREAMS_STATS[[#This Row],[In Deezer Playlists]],STREAMS_STATS[[#This Row],[In YouTube Playlists]])</f>
        <v>18610</v>
      </c>
      <c r="Q453" s="1">
        <v>110</v>
      </c>
      <c r="R453" s="1">
        <v>-15</v>
      </c>
      <c r="S453" s="1" t="s">
        <v>68</v>
      </c>
      <c r="T453" s="1">
        <v>4</v>
      </c>
      <c r="U453" s="1">
        <v>52</v>
      </c>
      <c r="V453" s="1">
        <v>9</v>
      </c>
      <c r="W453" s="1">
        <v>26</v>
      </c>
      <c r="X453" s="1">
        <v>310</v>
      </c>
      <c r="Y453" s="5">
        <f>STREAMS_STATS[[#This Row],[Duration]]/60</f>
        <v>5.166666666666667</v>
      </c>
      <c r="Z453" s="1">
        <v>99</v>
      </c>
      <c r="AA453" s="1">
        <v>4</v>
      </c>
      <c r="AB453" s="1">
        <v>47</v>
      </c>
    </row>
    <row r="454" spans="1:28">
      <c r="A454" t="s">
        <v>710</v>
      </c>
      <c r="B454" s="1" t="s">
        <v>221</v>
      </c>
      <c r="C454" s="1" t="s">
        <v>67</v>
      </c>
      <c r="D454" s="1">
        <v>2016</v>
      </c>
      <c r="E454" s="3">
        <v>1205951614</v>
      </c>
      <c r="F454" s="3" t="str" cm="1">
        <f t="array" ref="F454">_xlfn.IFS(STREAMS_STATS[[#This Row],[Streams]] &gt;= 1000000000, "1B+", STREAMS_STATS[[#This Row],[Streams]] &gt;= 500000000, "500M–1B", STREAMS_STATS[[#This Row],[Streams]] &gt;= 250000000, "250M–500M", TRUE, "Under 250M")</f>
        <v>1B+</v>
      </c>
      <c r="G454" s="1">
        <v>11975</v>
      </c>
      <c r="H454" s="1">
        <v>74</v>
      </c>
      <c r="I454" s="1">
        <v>71</v>
      </c>
      <c r="J454" s="1">
        <v>38776</v>
      </c>
      <c r="K454" s="1">
        <v>71</v>
      </c>
      <c r="L454" s="1">
        <v>44</v>
      </c>
      <c r="M454" s="1">
        <v>1</v>
      </c>
      <c r="N454" s="1">
        <v>16374</v>
      </c>
      <c r="O454" s="1">
        <v>269</v>
      </c>
      <c r="P454" s="2">
        <f>SUM(STREAMS_STATS[[#This Row],[In Spotify Playlists]],STREAMS_STATS[[#This Row],[In Apple Playlists]],STREAMS_STATS[[#This Row],[In Deezer Playlists]],STREAMS_STATS[[#This Row],[In YouTube Playlists]])</f>
        <v>67169</v>
      </c>
      <c r="Q454" s="1">
        <v>100</v>
      </c>
      <c r="R454" s="1">
        <v>-4</v>
      </c>
      <c r="S454" s="1" t="s">
        <v>68</v>
      </c>
      <c r="T454" s="1">
        <v>62</v>
      </c>
      <c r="U454" s="1">
        <v>73</v>
      </c>
      <c r="V454" s="1">
        <v>11</v>
      </c>
      <c r="W454" s="1">
        <v>51</v>
      </c>
      <c r="X454" s="1">
        <v>182</v>
      </c>
      <c r="Y454" s="5">
        <f>STREAMS_STATS[[#This Row],[Duration]]/60</f>
        <v>3.0333333333333332</v>
      </c>
      <c r="Z454" s="1">
        <v>38</v>
      </c>
      <c r="AA454" s="1">
        <v>6</v>
      </c>
      <c r="AB454" s="1">
        <v>78</v>
      </c>
    </row>
    <row r="455" spans="1:28">
      <c r="A455" t="s">
        <v>711</v>
      </c>
      <c r="B455" s="1" t="s">
        <v>236</v>
      </c>
      <c r="C455" s="1" t="s">
        <v>237</v>
      </c>
      <c r="D455" s="1">
        <v>2017</v>
      </c>
      <c r="E455" s="3">
        <v>1435127549</v>
      </c>
      <c r="F455" s="3" t="str" cm="1">
        <f t="array" ref="F455">_xlfn.IFS(STREAMS_STATS[[#This Row],[Streams]] &gt;= 1000000000, "1B+", STREAMS_STATS[[#This Row],[Streams]] &gt;= 500000000, "500M–1B", STREAMS_STATS[[#This Row],[Streams]] &gt;= 250000000, "250M–500M", TRUE, "Under 250M")</f>
        <v>1B+</v>
      </c>
      <c r="G455" s="1">
        <v>15867</v>
      </c>
      <c r="H455" s="1">
        <v>26</v>
      </c>
      <c r="I455" s="1">
        <v>47</v>
      </c>
      <c r="J455" s="1">
        <v>28325</v>
      </c>
      <c r="K455" s="1">
        <v>93</v>
      </c>
      <c r="L455" s="1">
        <v>396</v>
      </c>
      <c r="M455" s="1">
        <v>49</v>
      </c>
      <c r="N455" s="1">
        <v>17483</v>
      </c>
      <c r="O455" s="1">
        <v>53</v>
      </c>
      <c r="P455" s="2">
        <f>SUM(STREAMS_STATS[[#This Row],[In Spotify Playlists]],STREAMS_STATS[[#This Row],[In Apple Playlists]],STREAMS_STATS[[#This Row],[In Deezer Playlists]],STREAMS_STATS[[#This Row],[In YouTube Playlists]])</f>
        <v>62071</v>
      </c>
      <c r="Q455" s="1">
        <v>102</v>
      </c>
      <c r="R455" s="1">
        <v>-5</v>
      </c>
      <c r="S455" s="1" t="s">
        <v>75</v>
      </c>
      <c r="T455" s="1">
        <v>62</v>
      </c>
      <c r="U455" s="1">
        <v>69</v>
      </c>
      <c r="V455" s="1">
        <v>12</v>
      </c>
      <c r="W455" s="1">
        <v>54</v>
      </c>
      <c r="X455" s="1">
        <v>210</v>
      </c>
      <c r="Y455" s="5">
        <f>STREAMS_STATS[[#This Row],[Duration]]/60</f>
        <v>3.5</v>
      </c>
      <c r="Z455" s="1">
        <v>25</v>
      </c>
      <c r="AA455" s="1">
        <v>6</v>
      </c>
      <c r="AB455" s="1">
        <v>80</v>
      </c>
    </row>
    <row r="456" spans="1:28">
      <c r="A456" t="s">
        <v>712</v>
      </c>
      <c r="B456" s="1" t="s">
        <v>236</v>
      </c>
      <c r="C456" s="1" t="s">
        <v>237</v>
      </c>
      <c r="D456" s="1">
        <v>2014</v>
      </c>
      <c r="E456" s="3">
        <v>363369738</v>
      </c>
      <c r="F456" s="3" t="str" cm="1">
        <f t="array" ref="F45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56" s="1">
        <v>2839</v>
      </c>
      <c r="H456" s="1">
        <v>226</v>
      </c>
      <c r="I456" s="1">
        <v>22</v>
      </c>
      <c r="J456" s="1">
        <v>12916</v>
      </c>
      <c r="K456" s="1">
        <v>22</v>
      </c>
      <c r="L456" s="1">
        <v>748</v>
      </c>
      <c r="M456" s="1">
        <v>29</v>
      </c>
      <c r="N456" s="1">
        <v>29774</v>
      </c>
      <c r="O456" s="1">
        <v>184</v>
      </c>
      <c r="P456" s="2">
        <f>SUM(STREAMS_STATS[[#This Row],[In Spotify Playlists]],STREAMS_STATS[[#This Row],[In Apple Playlists]],STREAMS_STATS[[#This Row],[In Deezer Playlists]],STREAMS_STATS[[#This Row],[In YouTube Playlists]])</f>
        <v>46277</v>
      </c>
      <c r="Q456" s="1">
        <v>128</v>
      </c>
      <c r="R456" s="1">
        <v>-3</v>
      </c>
      <c r="S456" s="1" t="s">
        <v>68</v>
      </c>
      <c r="T456" s="1">
        <v>74</v>
      </c>
      <c r="U456" s="1">
        <v>60</v>
      </c>
      <c r="V456" s="1">
        <v>9</v>
      </c>
      <c r="W456" s="1">
        <v>46</v>
      </c>
      <c r="X456" s="1">
        <v>217</v>
      </c>
      <c r="Y456" s="5">
        <f>STREAMS_STATS[[#This Row],[Duration]]/60</f>
        <v>3.6166666666666667</v>
      </c>
      <c r="Z456" s="1">
        <v>11</v>
      </c>
      <c r="AA456" s="1">
        <v>4</v>
      </c>
      <c r="AB456" s="1">
        <v>64</v>
      </c>
    </row>
    <row r="457" spans="1:28">
      <c r="A457" t="s">
        <v>713</v>
      </c>
      <c r="B457" s="1" t="s">
        <v>405</v>
      </c>
      <c r="C457" s="1" t="s">
        <v>25</v>
      </c>
      <c r="D457" s="1">
        <v>2014</v>
      </c>
      <c r="E457" s="3">
        <v>2236667932</v>
      </c>
      <c r="F457" s="3" t="str" cm="1">
        <f t="array" ref="F457">_xlfn.IFS(STREAMS_STATS[[#This Row],[Streams]] &gt;= 1000000000, "1B+", STREAMS_STATS[[#This Row],[Streams]] &gt;= 500000000, "500M–1B", STREAMS_STATS[[#This Row],[Streams]] &gt;= 250000000, "250M–500M", TRUE, "Under 250M")</f>
        <v>1B+</v>
      </c>
      <c r="G457" s="1">
        <v>31358</v>
      </c>
      <c r="H457" s="1">
        <v>3</v>
      </c>
      <c r="I457" s="1">
        <v>181</v>
      </c>
      <c r="J457" s="1">
        <v>35704</v>
      </c>
      <c r="K457" s="1">
        <v>181</v>
      </c>
      <c r="L457" s="1">
        <v>3</v>
      </c>
      <c r="M457" s="1">
        <v>29</v>
      </c>
      <c r="N457" s="1">
        <v>23939</v>
      </c>
      <c r="O457" s="1">
        <v>303</v>
      </c>
      <c r="P457" s="2">
        <f>SUM(STREAMS_STATS[[#This Row],[In Spotify Playlists]],STREAMS_STATS[[#This Row],[In Apple Playlists]],STREAMS_STATS[[#This Row],[In Deezer Playlists]],STREAMS_STATS[[#This Row],[In YouTube Playlists]])</f>
        <v>91004</v>
      </c>
      <c r="Q457" s="1">
        <v>84</v>
      </c>
      <c r="R457" s="1">
        <v>-6</v>
      </c>
      <c r="S457" s="1" t="s">
        <v>75</v>
      </c>
      <c r="T457" s="1">
        <v>42</v>
      </c>
      <c r="U457" s="1">
        <v>42</v>
      </c>
      <c r="V457" s="1">
        <v>11</v>
      </c>
      <c r="W457" s="1">
        <v>18</v>
      </c>
      <c r="X457" s="1">
        <v>173</v>
      </c>
      <c r="Y457" s="5">
        <f>STREAMS_STATS[[#This Row],[Duration]]/60</f>
        <v>2.8833333333333333</v>
      </c>
      <c r="Z457" s="1">
        <v>59</v>
      </c>
      <c r="AA457" s="1">
        <v>4</v>
      </c>
      <c r="AB457" s="1">
        <v>85</v>
      </c>
    </row>
    <row r="458" spans="1:28">
      <c r="A458" t="s">
        <v>714</v>
      </c>
      <c r="B458" s="1" t="s">
        <v>158</v>
      </c>
      <c r="C458" s="1" t="s">
        <v>159</v>
      </c>
      <c r="D458" s="1">
        <v>2015</v>
      </c>
      <c r="E458" s="3">
        <v>245350949</v>
      </c>
      <c r="F458" s="3" t="str" cm="1">
        <f t="array" ref="F45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58" s="1">
        <v>1795</v>
      </c>
      <c r="H458" s="1">
        <v>293</v>
      </c>
      <c r="I458" s="1">
        <v>99</v>
      </c>
      <c r="J458" s="1">
        <v>32725</v>
      </c>
      <c r="K458" s="1">
        <v>99</v>
      </c>
      <c r="L458" s="1">
        <v>44</v>
      </c>
      <c r="M458" s="1">
        <v>14</v>
      </c>
      <c r="N458" s="1">
        <v>27552</v>
      </c>
      <c r="O458" s="1">
        <v>33</v>
      </c>
      <c r="P458" s="2">
        <f>SUM(STREAMS_STATS[[#This Row],[In Spotify Playlists]],STREAMS_STATS[[#This Row],[In Apple Playlists]],STREAMS_STATS[[#This Row],[In Deezer Playlists]],STREAMS_STATS[[#This Row],[In YouTube Playlists]])</f>
        <v>62116</v>
      </c>
      <c r="Q458" s="1">
        <v>77</v>
      </c>
      <c r="R458" s="1">
        <v>-6</v>
      </c>
      <c r="S458" s="1" t="s">
        <v>68</v>
      </c>
      <c r="T458" s="1">
        <v>76</v>
      </c>
      <c r="U458" s="1">
        <v>47</v>
      </c>
      <c r="V458" s="1">
        <v>14</v>
      </c>
      <c r="W458" s="1">
        <v>52</v>
      </c>
      <c r="X458" s="1">
        <v>227</v>
      </c>
      <c r="Y458" s="5">
        <f>STREAMS_STATS[[#This Row],[Duration]]/60</f>
        <v>3.7833333333333332</v>
      </c>
      <c r="Z458" s="1">
        <v>0</v>
      </c>
      <c r="AA458" s="1">
        <v>4</v>
      </c>
      <c r="AB458" s="1">
        <v>51</v>
      </c>
    </row>
    <row r="459" spans="1:28">
      <c r="A459" t="s">
        <v>715</v>
      </c>
      <c r="B459" s="1" t="s">
        <v>716</v>
      </c>
      <c r="C459" s="1" t="s">
        <v>67</v>
      </c>
      <c r="D459" s="1">
        <v>2012</v>
      </c>
      <c r="E459" s="3">
        <v>265882712</v>
      </c>
      <c r="F459" s="3" t="str" cm="1">
        <f t="array" ref="F45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59" s="1">
        <v>1966</v>
      </c>
      <c r="H459" s="1">
        <v>372</v>
      </c>
      <c r="I459" s="1">
        <v>395</v>
      </c>
      <c r="J459" s="1">
        <v>35706</v>
      </c>
      <c r="K459" s="1">
        <v>64</v>
      </c>
      <c r="L459" s="1">
        <v>8756</v>
      </c>
      <c r="M459" s="1">
        <v>73</v>
      </c>
      <c r="N459" s="1">
        <v>20061</v>
      </c>
      <c r="O459" s="1">
        <v>258</v>
      </c>
      <c r="P459" s="2">
        <f>SUM(STREAMS_STATS[[#This Row],[In Spotify Playlists]],STREAMS_STATS[[#This Row],[In Apple Playlists]],STREAMS_STATS[[#This Row],[In Deezer Playlists]],STREAMS_STATS[[#This Row],[In YouTube Playlists]])</f>
        <v>66489</v>
      </c>
      <c r="Q459" s="1">
        <v>90</v>
      </c>
      <c r="R459" s="1">
        <v>-3</v>
      </c>
      <c r="S459" s="1" t="s">
        <v>68</v>
      </c>
      <c r="T459" s="1">
        <v>80</v>
      </c>
      <c r="U459" s="1">
        <v>65</v>
      </c>
      <c r="V459" s="1">
        <v>27</v>
      </c>
      <c r="W459" s="1">
        <v>80</v>
      </c>
      <c r="X459" s="1">
        <v>211</v>
      </c>
      <c r="Y459" s="5">
        <f>STREAMS_STATS[[#This Row],[Duration]]/60</f>
        <v>3.5166666666666666</v>
      </c>
      <c r="Z459" s="1">
        <v>3</v>
      </c>
      <c r="AA459" s="1">
        <v>10</v>
      </c>
      <c r="AB459" s="1">
        <v>54</v>
      </c>
    </row>
    <row r="460" spans="1:28">
      <c r="A460" t="s">
        <v>717</v>
      </c>
      <c r="B460" s="1" t="s">
        <v>33</v>
      </c>
      <c r="C460" s="1" t="s">
        <v>134</v>
      </c>
      <c r="D460" s="1">
        <v>2015</v>
      </c>
      <c r="E460" s="3">
        <v>1223481149</v>
      </c>
      <c r="F460" s="3" t="str" cm="1">
        <f t="array" ref="F460">_xlfn.IFS(STREAMS_STATS[[#This Row],[Streams]] &gt;= 1000000000, "1B+", STREAMS_STATS[[#This Row],[Streams]] &gt;= 500000000, "500M–1B", STREAMS_STATS[[#This Row],[Streams]] &gt;= 250000000, "250M–500M", TRUE, "Under 250M")</f>
        <v>1B+</v>
      </c>
      <c r="G460" s="1">
        <v>12382</v>
      </c>
      <c r="H460" s="1">
        <v>70</v>
      </c>
      <c r="I460" s="1">
        <v>7</v>
      </c>
      <c r="J460" s="1">
        <v>13152</v>
      </c>
      <c r="K460" s="1">
        <v>7</v>
      </c>
      <c r="L460" s="1">
        <v>15</v>
      </c>
      <c r="M460" s="1">
        <v>30</v>
      </c>
      <c r="N460" s="1">
        <v>22451</v>
      </c>
      <c r="O460" s="1">
        <v>393</v>
      </c>
      <c r="P460" s="2">
        <f>SUM(STREAMS_STATS[[#This Row],[In Spotify Playlists]],STREAMS_STATS[[#This Row],[In Apple Playlists]],STREAMS_STATS[[#This Row],[In Deezer Playlists]],STREAMS_STATS[[#This Row],[In YouTube Playlists]])</f>
        <v>48000</v>
      </c>
      <c r="Q460" s="1">
        <v>150</v>
      </c>
      <c r="R460" s="1">
        <v>-7</v>
      </c>
      <c r="S460" s="1" t="s">
        <v>68</v>
      </c>
      <c r="T460" s="1">
        <v>75</v>
      </c>
      <c r="U460" s="1">
        <v>75</v>
      </c>
      <c r="V460" s="1">
        <v>5</v>
      </c>
      <c r="W460" s="1">
        <v>76</v>
      </c>
      <c r="X460" s="1">
        <v>207</v>
      </c>
      <c r="Y460" s="5">
        <f>STREAMS_STATS[[#This Row],[Duration]]/60</f>
        <v>3.45</v>
      </c>
      <c r="Z460" s="1">
        <v>2</v>
      </c>
      <c r="AA460" s="1">
        <v>7</v>
      </c>
      <c r="AB460" s="1">
        <v>78</v>
      </c>
    </row>
    <row r="461" spans="1:28">
      <c r="A461" t="s">
        <v>718</v>
      </c>
      <c r="B461" s="1" t="s">
        <v>158</v>
      </c>
      <c r="C461" s="1" t="s">
        <v>159</v>
      </c>
      <c r="D461" s="1">
        <v>2013</v>
      </c>
      <c r="E461" s="3">
        <v>1687664027</v>
      </c>
      <c r="F461" s="3" t="str" cm="1">
        <f t="array" ref="F461">_xlfn.IFS(STREAMS_STATS[[#This Row],[Streams]] &gt;= 1000000000, "1B+", STREAMS_STATS[[#This Row],[Streams]] &gt;= 500000000, "500M–1B", STREAMS_STATS[[#This Row],[Streams]] &gt;= 250000000, "250M–500M", TRUE, "Under 250M")</f>
        <v>1B+</v>
      </c>
      <c r="G461" s="1">
        <v>21081</v>
      </c>
      <c r="H461" s="1">
        <v>21</v>
      </c>
      <c r="I461" s="1">
        <v>77</v>
      </c>
      <c r="J461" s="1">
        <v>29137</v>
      </c>
      <c r="K461" s="1">
        <v>77</v>
      </c>
      <c r="L461" s="1">
        <v>15</v>
      </c>
      <c r="M461" s="1">
        <v>1</v>
      </c>
      <c r="N461" s="1">
        <v>1597</v>
      </c>
      <c r="O461" s="1">
        <v>72</v>
      </c>
      <c r="P461" s="2">
        <f>SUM(STREAMS_STATS[[#This Row],[In Spotify Playlists]],STREAMS_STATS[[#This Row],[In Apple Playlists]],STREAMS_STATS[[#This Row],[In Deezer Playlists]],STREAMS_STATS[[#This Row],[In YouTube Playlists]])</f>
        <v>51830</v>
      </c>
      <c r="Q461" s="1">
        <v>121</v>
      </c>
      <c r="R461" s="1">
        <v>-6</v>
      </c>
      <c r="S461" s="1" t="s">
        <v>68</v>
      </c>
      <c r="T461" s="1">
        <v>66</v>
      </c>
      <c r="U461" s="1">
        <v>60</v>
      </c>
      <c r="V461" s="1">
        <v>12</v>
      </c>
      <c r="W461" s="1">
        <v>29</v>
      </c>
      <c r="X461" s="1">
        <v>245</v>
      </c>
      <c r="Y461" s="5">
        <f>STREAMS_STATS[[#This Row],[Duration]]/60</f>
        <v>4.083333333333333</v>
      </c>
      <c r="Z461" s="1">
        <v>23</v>
      </c>
      <c r="AA461" s="1">
        <v>5</v>
      </c>
      <c r="AB461" s="1">
        <v>81</v>
      </c>
    </row>
    <row r="462" spans="1:28">
      <c r="A462" t="s">
        <v>719</v>
      </c>
      <c r="B462" s="1" t="s">
        <v>320</v>
      </c>
      <c r="C462" s="1" t="s">
        <v>67</v>
      </c>
      <c r="D462" s="1">
        <v>2017</v>
      </c>
      <c r="E462" s="3">
        <v>489945871</v>
      </c>
      <c r="F462" s="3" t="str" cm="1">
        <f t="array" ref="F46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62" s="1">
        <v>3956</v>
      </c>
      <c r="H462" s="1">
        <v>156</v>
      </c>
      <c r="I462" s="1">
        <v>122</v>
      </c>
      <c r="J462" s="1">
        <v>25856</v>
      </c>
      <c r="K462" s="1">
        <v>122</v>
      </c>
      <c r="L462" s="2">
        <v>2726</v>
      </c>
      <c r="M462" s="1">
        <v>6</v>
      </c>
      <c r="N462" s="1">
        <v>2303</v>
      </c>
      <c r="O462" s="1">
        <v>182</v>
      </c>
      <c r="P462" s="2">
        <f>SUM(STREAMS_STATS[[#This Row],[In Spotify Playlists]],STREAMS_STATS[[#This Row],[In Apple Playlists]],STREAMS_STATS[[#This Row],[In Deezer Playlists]],STREAMS_STATS[[#This Row],[In YouTube Playlists]])</f>
        <v>34841</v>
      </c>
      <c r="Q462" s="1">
        <v>106</v>
      </c>
      <c r="R462" s="1">
        <v>-5</v>
      </c>
      <c r="S462" s="1" t="s">
        <v>68</v>
      </c>
      <c r="T462" s="1">
        <v>50</v>
      </c>
      <c r="U462" s="1">
        <v>87</v>
      </c>
      <c r="V462" s="1">
        <v>8</v>
      </c>
      <c r="W462" s="1">
        <v>55</v>
      </c>
      <c r="X462" s="1">
        <v>202</v>
      </c>
      <c r="Y462" s="5">
        <f>STREAMS_STATS[[#This Row],[Duration]]/60</f>
        <v>3.3666666666666667</v>
      </c>
      <c r="Z462" s="1">
        <v>20</v>
      </c>
      <c r="AA462" s="1">
        <v>5</v>
      </c>
      <c r="AB462" s="1">
        <v>69</v>
      </c>
    </row>
    <row r="463" spans="1:28">
      <c r="A463" t="s">
        <v>720</v>
      </c>
      <c r="B463" s="1" t="s">
        <v>384</v>
      </c>
      <c r="C463" s="1" t="s">
        <v>67</v>
      </c>
      <c r="D463" s="1">
        <v>2012</v>
      </c>
      <c r="E463" s="3">
        <v>812019557</v>
      </c>
      <c r="F463" s="3" t="str" cm="1">
        <f t="array" ref="F46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63" s="1">
        <v>7215</v>
      </c>
      <c r="H463" s="1">
        <v>144</v>
      </c>
      <c r="I463" s="1">
        <v>154</v>
      </c>
      <c r="J463" s="1">
        <v>38193</v>
      </c>
      <c r="K463" s="1">
        <v>55</v>
      </c>
      <c r="L463" s="1">
        <v>7749</v>
      </c>
      <c r="M463" s="1">
        <v>139</v>
      </c>
      <c r="N463" s="1">
        <v>11672</v>
      </c>
      <c r="O463" s="1">
        <v>138</v>
      </c>
      <c r="P463" s="2">
        <f>SUM(STREAMS_STATS[[#This Row],[In Spotify Playlists]],STREAMS_STATS[[#This Row],[In Apple Playlists]],STREAMS_STATS[[#This Row],[In Deezer Playlists]],STREAMS_STATS[[#This Row],[In YouTube Playlists]])</f>
        <v>64829</v>
      </c>
      <c r="Q463" s="1">
        <v>116</v>
      </c>
      <c r="R463" s="1">
        <v>-4</v>
      </c>
      <c r="S463" s="1" t="s">
        <v>68</v>
      </c>
      <c r="T463" s="1">
        <v>94</v>
      </c>
      <c r="U463" s="1">
        <v>56</v>
      </c>
      <c r="V463" s="1">
        <v>11</v>
      </c>
      <c r="W463" s="1">
        <v>68</v>
      </c>
      <c r="X463" s="1">
        <v>222</v>
      </c>
      <c r="Y463" s="5">
        <f>STREAMS_STATS[[#This Row],[Duration]]/60</f>
        <v>3.7</v>
      </c>
      <c r="Z463" s="1">
        <v>5</v>
      </c>
      <c r="AA463" s="1">
        <v>5</v>
      </c>
      <c r="AB463" s="1">
        <v>74</v>
      </c>
    </row>
    <row r="464" spans="1:28">
      <c r="A464" t="s">
        <v>721</v>
      </c>
      <c r="B464" s="1" t="s">
        <v>594</v>
      </c>
      <c r="C464" s="1" t="s">
        <v>159</v>
      </c>
      <c r="D464" s="1">
        <v>2019</v>
      </c>
      <c r="E464" s="3">
        <v>2288695111</v>
      </c>
      <c r="F464" s="3" t="str" cm="1">
        <f t="array" ref="F464">_xlfn.IFS(STREAMS_STATS[[#This Row],[Streams]] &gt;= 1000000000, "1B+", STREAMS_STATS[[#This Row],[Streams]] &gt;= 500000000, "500M–1B", STREAMS_STATS[[#This Row],[Streams]] &gt;= 250000000, "250M–500M", TRUE, "Under 250M")</f>
        <v>1B+</v>
      </c>
      <c r="G464" s="1">
        <v>33032</v>
      </c>
      <c r="H464" s="1">
        <v>3</v>
      </c>
      <c r="I464" s="1">
        <v>118</v>
      </c>
      <c r="J464" s="1">
        <v>11042</v>
      </c>
      <c r="K464" s="1">
        <v>118</v>
      </c>
      <c r="L464" s="2">
        <v>4534</v>
      </c>
      <c r="M464" s="1">
        <v>2</v>
      </c>
      <c r="N464" s="1">
        <v>39397</v>
      </c>
      <c r="O464" s="1">
        <v>307</v>
      </c>
      <c r="P464" s="2">
        <f>SUM(STREAMS_STATS[[#This Row],[In Spotify Playlists]],STREAMS_STATS[[#This Row],[In Apple Playlists]],STREAMS_STATS[[#This Row],[In Deezer Playlists]],STREAMS_STATS[[#This Row],[In YouTube Playlists]])</f>
        <v>88005</v>
      </c>
      <c r="Q464" s="1">
        <v>138</v>
      </c>
      <c r="R464" s="1">
        <v>-5</v>
      </c>
      <c r="S464" s="1" t="s">
        <v>68</v>
      </c>
      <c r="T464" s="1">
        <v>73</v>
      </c>
      <c r="U464" s="1">
        <v>84</v>
      </c>
      <c r="V464" s="1">
        <v>11</v>
      </c>
      <c r="W464" s="1">
        <v>95</v>
      </c>
      <c r="X464" s="1">
        <v>181</v>
      </c>
      <c r="Y464" s="5">
        <f>STREAMS_STATS[[#This Row],[Duration]]/60</f>
        <v>3.0166666666666666</v>
      </c>
      <c r="Z464" s="1">
        <v>4</v>
      </c>
      <c r="AA464" s="1">
        <v>6</v>
      </c>
      <c r="AB464" s="1">
        <v>86</v>
      </c>
    </row>
    <row r="465" spans="1:28">
      <c r="A465" t="s">
        <v>722</v>
      </c>
      <c r="B465" s="1" t="s">
        <v>32</v>
      </c>
      <c r="C465" s="1" t="s">
        <v>25</v>
      </c>
      <c r="D465" s="1">
        <v>2015</v>
      </c>
      <c r="E465" s="3">
        <v>1641426668</v>
      </c>
      <c r="F465" s="3" t="str" cm="1">
        <f t="array" ref="F465">_xlfn.IFS(STREAMS_STATS[[#This Row],[Streams]] &gt;= 1000000000, "1B+", STREAMS_STATS[[#This Row],[Streams]] &gt;= 500000000, "500M–1B", STREAMS_STATS[[#This Row],[Streams]] &gt;= 250000000, "250M–500M", TRUE, "Under 250M")</f>
        <v>1B+</v>
      </c>
      <c r="G465" s="1">
        <v>20111</v>
      </c>
      <c r="H465" s="1">
        <v>23</v>
      </c>
      <c r="I465" s="1">
        <v>20</v>
      </c>
      <c r="J465" s="1">
        <v>18463</v>
      </c>
      <c r="K465" s="1">
        <v>20</v>
      </c>
      <c r="L465" s="1">
        <v>4</v>
      </c>
      <c r="M465" s="1">
        <v>30</v>
      </c>
      <c r="N465" s="1">
        <v>15267</v>
      </c>
      <c r="O465" s="1">
        <v>26</v>
      </c>
      <c r="P465" s="2">
        <f>SUM(STREAMS_STATS[[#This Row],[In Spotify Playlists]],STREAMS_STATS[[#This Row],[In Apple Playlists]],STREAMS_STATS[[#This Row],[In Deezer Playlists]],STREAMS_STATS[[#This Row],[In YouTube Playlists]])</f>
        <v>53845</v>
      </c>
      <c r="Q465" s="1">
        <v>120</v>
      </c>
      <c r="R465" s="1">
        <v>-7</v>
      </c>
      <c r="S465" s="1" t="s">
        <v>68</v>
      </c>
      <c r="T465" s="1">
        <v>79</v>
      </c>
      <c r="U465" s="1">
        <v>75</v>
      </c>
      <c r="V465" s="1">
        <v>9</v>
      </c>
      <c r="W465" s="1">
        <v>88</v>
      </c>
      <c r="X465" s="1">
        <v>235</v>
      </c>
      <c r="Y465" s="5">
        <f>STREAMS_STATS[[#This Row],[Duration]]/60</f>
        <v>3.9166666666666665</v>
      </c>
      <c r="Z465" s="1">
        <v>6</v>
      </c>
      <c r="AA465" s="1">
        <v>3</v>
      </c>
      <c r="AB465" s="1">
        <v>81</v>
      </c>
    </row>
    <row r="466" spans="1:28">
      <c r="A466" t="s">
        <v>722</v>
      </c>
      <c r="B466" s="1" t="s">
        <v>32</v>
      </c>
      <c r="C466" s="1" t="s">
        <v>25</v>
      </c>
      <c r="D466" s="1">
        <v>2015</v>
      </c>
      <c r="E466" s="3">
        <v>405136812</v>
      </c>
      <c r="F466" s="3" t="str" cm="1">
        <f t="array" ref="F46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66" s="1">
        <v>3221</v>
      </c>
      <c r="H466" s="1">
        <v>392</v>
      </c>
      <c r="I466" s="1">
        <v>5</v>
      </c>
      <c r="J466" s="1">
        <v>25228</v>
      </c>
      <c r="K466" s="1">
        <v>5</v>
      </c>
      <c r="L466" s="1">
        <v>3</v>
      </c>
      <c r="M466" s="1">
        <v>27</v>
      </c>
      <c r="N466" s="1">
        <v>28483</v>
      </c>
      <c r="O466" s="1">
        <v>38</v>
      </c>
      <c r="P466" s="2">
        <f>SUM(STREAMS_STATS[[#This Row],[In Spotify Playlists]],STREAMS_STATS[[#This Row],[In Apple Playlists]],STREAMS_STATS[[#This Row],[In Deezer Playlists]],STREAMS_STATS[[#This Row],[In YouTube Playlists]])</f>
        <v>56935</v>
      </c>
      <c r="Q466" s="1">
        <v>120</v>
      </c>
      <c r="R466" s="1">
        <v>-7</v>
      </c>
      <c r="S466" s="1" t="s">
        <v>68</v>
      </c>
      <c r="T466" s="1">
        <v>79</v>
      </c>
      <c r="U466" s="1">
        <v>75</v>
      </c>
      <c r="V466" s="1">
        <v>9</v>
      </c>
      <c r="W466" s="1">
        <v>88</v>
      </c>
      <c r="X466" s="1">
        <v>235</v>
      </c>
      <c r="Y466" s="5">
        <f>STREAMS_STATS[[#This Row],[Duration]]/60</f>
        <v>3.9166666666666665</v>
      </c>
      <c r="Z466" s="1">
        <v>6</v>
      </c>
      <c r="AA466" s="1">
        <v>3</v>
      </c>
      <c r="AB466" s="1">
        <v>66</v>
      </c>
    </row>
    <row r="467" spans="1:28">
      <c r="A467" t="s">
        <v>723</v>
      </c>
      <c r="B467" s="1" t="s">
        <v>585</v>
      </c>
      <c r="C467" s="1" t="s">
        <v>67</v>
      </c>
      <c r="D467" s="1">
        <v>2015</v>
      </c>
      <c r="E467" s="3">
        <v>305771063</v>
      </c>
      <c r="F467" s="3" t="str" cm="1">
        <f t="array" ref="F46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67" s="1">
        <v>2393</v>
      </c>
      <c r="H467" s="1">
        <v>258</v>
      </c>
      <c r="I467" s="1">
        <v>49</v>
      </c>
      <c r="J467" s="1">
        <v>28819</v>
      </c>
      <c r="K467" s="1">
        <v>68</v>
      </c>
      <c r="L467" s="1">
        <v>31</v>
      </c>
      <c r="M467" s="1">
        <v>43</v>
      </c>
      <c r="N467" s="1">
        <v>26709</v>
      </c>
      <c r="O467" s="1">
        <v>179</v>
      </c>
      <c r="P467" s="2">
        <f>SUM(STREAMS_STATS[[#This Row],[In Spotify Playlists]],STREAMS_STATS[[#This Row],[In Apple Playlists]],STREAMS_STATS[[#This Row],[In Deezer Playlists]],STREAMS_STATS[[#This Row],[In YouTube Playlists]])</f>
        <v>57952</v>
      </c>
      <c r="Q467" s="1">
        <v>123</v>
      </c>
      <c r="R467" s="1">
        <v>-5</v>
      </c>
      <c r="S467" s="1" t="s">
        <v>75</v>
      </c>
      <c r="T467" s="1">
        <v>82</v>
      </c>
      <c r="U467" s="1">
        <v>64</v>
      </c>
      <c r="V467" s="1">
        <v>16</v>
      </c>
      <c r="W467" s="1">
        <v>64</v>
      </c>
      <c r="X467" s="1">
        <v>219</v>
      </c>
      <c r="Y467" s="5">
        <f>STREAMS_STATS[[#This Row],[Duration]]/60</f>
        <v>3.65</v>
      </c>
      <c r="Z467" s="1">
        <v>2</v>
      </c>
      <c r="AA467" s="1">
        <v>6</v>
      </c>
      <c r="AB467" s="1">
        <v>60</v>
      </c>
    </row>
    <row r="468" spans="1:28">
      <c r="A468" t="s">
        <v>724</v>
      </c>
      <c r="B468" s="1" t="s">
        <v>219</v>
      </c>
      <c r="C468" s="1" t="s">
        <v>67</v>
      </c>
      <c r="D468" s="1">
        <v>2013</v>
      </c>
      <c r="E468" s="3">
        <v>476244795</v>
      </c>
      <c r="F468" s="3" t="str" cm="1">
        <f t="array" ref="F46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68" s="1">
        <v>3763</v>
      </c>
      <c r="H468" s="1">
        <v>120</v>
      </c>
      <c r="I468" s="1">
        <v>81</v>
      </c>
      <c r="J468" s="1">
        <v>10226</v>
      </c>
      <c r="K468" s="1">
        <v>81</v>
      </c>
      <c r="L468" s="1">
        <v>974</v>
      </c>
      <c r="M468" s="1">
        <v>1</v>
      </c>
      <c r="N468" s="1">
        <v>33388</v>
      </c>
      <c r="O468" s="1">
        <v>212</v>
      </c>
      <c r="P468" s="2">
        <f>SUM(STREAMS_STATS[[#This Row],[In Spotify Playlists]],STREAMS_STATS[[#This Row],[In Apple Playlists]],STREAMS_STATS[[#This Row],[In Deezer Playlists]],STREAMS_STATS[[#This Row],[In YouTube Playlists]])</f>
        <v>48351</v>
      </c>
      <c r="Q468" s="1">
        <v>102</v>
      </c>
      <c r="R468" s="1">
        <v>-4</v>
      </c>
      <c r="S468" s="1" t="s">
        <v>68</v>
      </c>
      <c r="T468" s="1">
        <v>60</v>
      </c>
      <c r="U468" s="1">
        <v>80</v>
      </c>
      <c r="V468" s="1">
        <v>16</v>
      </c>
      <c r="W468" s="1">
        <v>36</v>
      </c>
      <c r="X468" s="1">
        <v>326</v>
      </c>
      <c r="Y468" s="5">
        <f>STREAMS_STATS[[#This Row],[Duration]]/60</f>
        <v>5.4333333333333336</v>
      </c>
      <c r="Z468" s="1">
        <v>10</v>
      </c>
      <c r="AA468" s="1">
        <v>22</v>
      </c>
      <c r="AB468" s="1">
        <v>68</v>
      </c>
    </row>
    <row r="469" spans="1:28">
      <c r="A469" t="s">
        <v>725</v>
      </c>
      <c r="B469" s="1" t="s">
        <v>34</v>
      </c>
      <c r="C469" s="1" t="s">
        <v>67</v>
      </c>
      <c r="D469" s="1">
        <v>2014</v>
      </c>
      <c r="E469" s="3">
        <v>1472799873</v>
      </c>
      <c r="F469" s="3" t="str" cm="1">
        <f t="array" ref="F469">_xlfn.IFS(STREAMS_STATS[[#This Row],[Streams]] &gt;= 1000000000, "1B+", STREAMS_STATS[[#This Row],[Streams]] &gt;= 500000000, "500M–1B", STREAMS_STATS[[#This Row],[Streams]] &gt;= 250000000, "250M–500M", TRUE, "Under 250M")</f>
        <v>1B+</v>
      </c>
      <c r="G469" s="1">
        <v>17138</v>
      </c>
      <c r="H469" s="1">
        <v>22</v>
      </c>
      <c r="I469" s="1">
        <v>1</v>
      </c>
      <c r="J469" s="1">
        <v>39392</v>
      </c>
      <c r="K469" s="1">
        <v>1</v>
      </c>
      <c r="L469" s="1">
        <v>8</v>
      </c>
      <c r="M469" s="1">
        <v>24</v>
      </c>
      <c r="N469" s="1">
        <v>25917</v>
      </c>
      <c r="O469" s="1">
        <v>217</v>
      </c>
      <c r="P469" s="2">
        <f>SUM(STREAMS_STATS[[#This Row],[In Spotify Playlists]],STREAMS_STATS[[#This Row],[In Apple Playlists]],STREAMS_STATS[[#This Row],[In Deezer Playlists]],STREAMS_STATS[[#This Row],[In YouTube Playlists]])</f>
        <v>82455</v>
      </c>
      <c r="Q469" s="1">
        <v>128</v>
      </c>
      <c r="R469" s="1">
        <v>-4</v>
      </c>
      <c r="S469" s="1" t="s">
        <v>75</v>
      </c>
      <c r="T469" s="1">
        <v>86</v>
      </c>
      <c r="U469" s="1">
        <v>60</v>
      </c>
      <c r="V469" s="1">
        <v>14</v>
      </c>
      <c r="W469" s="1">
        <v>74</v>
      </c>
      <c r="X469" s="1">
        <v>223</v>
      </c>
      <c r="Y469" s="5">
        <f>STREAMS_STATS[[#This Row],[Duration]]/60</f>
        <v>3.7166666666666668</v>
      </c>
      <c r="Z469" s="1">
        <v>2</v>
      </c>
      <c r="AA469" s="1">
        <v>3</v>
      </c>
      <c r="AB469" s="1">
        <v>80</v>
      </c>
    </row>
    <row r="470" spans="1:28">
      <c r="A470" t="s">
        <v>726</v>
      </c>
      <c r="B470" s="1" t="s">
        <v>502</v>
      </c>
      <c r="C470" s="1" t="s">
        <v>287</v>
      </c>
      <c r="D470" s="1">
        <v>2017</v>
      </c>
      <c r="E470" s="3">
        <v>430977451</v>
      </c>
      <c r="F470" s="3" t="str" cm="1">
        <f t="array" ref="F47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70" s="1">
        <v>3408</v>
      </c>
      <c r="H470" s="1">
        <v>122</v>
      </c>
      <c r="I470" s="1">
        <v>28</v>
      </c>
      <c r="J470" s="1">
        <v>17556</v>
      </c>
      <c r="K470" s="1">
        <v>28</v>
      </c>
      <c r="L470" s="1">
        <v>43</v>
      </c>
      <c r="M470" s="1">
        <v>31</v>
      </c>
      <c r="N470" s="1">
        <v>34668</v>
      </c>
      <c r="O470" s="1">
        <v>333</v>
      </c>
      <c r="P470" s="2">
        <f>SUM(STREAMS_STATS[[#This Row],[In Spotify Playlists]],STREAMS_STATS[[#This Row],[In Apple Playlists]],STREAMS_STATS[[#This Row],[In Deezer Playlists]],STREAMS_STATS[[#This Row],[In YouTube Playlists]])</f>
        <v>55675</v>
      </c>
      <c r="Q470" s="1">
        <v>135</v>
      </c>
      <c r="R470" s="1">
        <v>-9</v>
      </c>
      <c r="S470" s="1" t="s">
        <v>68</v>
      </c>
      <c r="T470" s="1">
        <v>57</v>
      </c>
      <c r="U470" s="1">
        <v>76</v>
      </c>
      <c r="V470" s="1">
        <v>20</v>
      </c>
      <c r="W470" s="1">
        <v>14</v>
      </c>
      <c r="X470" s="1">
        <v>261</v>
      </c>
      <c r="Y470" s="5">
        <f>STREAMS_STATS[[#This Row],[Duration]]/60</f>
        <v>4.3499999999999996</v>
      </c>
      <c r="Z470" s="1">
        <v>2</v>
      </c>
      <c r="AA470" s="1">
        <v>13</v>
      </c>
      <c r="AB470" s="1">
        <v>67</v>
      </c>
    </row>
    <row r="471" spans="1:28">
      <c r="A471" t="s">
        <v>727</v>
      </c>
      <c r="B471" s="1" t="s">
        <v>502</v>
      </c>
      <c r="C471" s="1" t="s">
        <v>287</v>
      </c>
      <c r="D471" s="1">
        <v>2013</v>
      </c>
      <c r="E471" s="3">
        <v>807561936</v>
      </c>
      <c r="F471" s="3" t="str" cm="1">
        <f t="array" ref="F47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71" s="1">
        <v>7124</v>
      </c>
      <c r="H471" s="1">
        <v>310</v>
      </c>
      <c r="I471" s="1">
        <v>58</v>
      </c>
      <c r="J471" s="1">
        <v>3831</v>
      </c>
      <c r="K471" s="1">
        <v>58</v>
      </c>
      <c r="L471" s="1">
        <v>247</v>
      </c>
      <c r="M471" s="1">
        <v>1</v>
      </c>
      <c r="N471" s="1">
        <v>38765</v>
      </c>
      <c r="O471" s="1">
        <v>65</v>
      </c>
      <c r="P471" s="2">
        <f>SUM(STREAMS_STATS[[#This Row],[In Spotify Playlists]],STREAMS_STATS[[#This Row],[In Apple Playlists]],STREAMS_STATS[[#This Row],[In Deezer Playlists]],STREAMS_STATS[[#This Row],[In YouTube Playlists]])</f>
        <v>49967</v>
      </c>
      <c r="Q471" s="1">
        <v>126</v>
      </c>
      <c r="R471" s="1">
        <v>-6</v>
      </c>
      <c r="S471" s="1" t="s">
        <v>68</v>
      </c>
      <c r="T471" s="1">
        <v>81</v>
      </c>
      <c r="U471" s="1">
        <v>57</v>
      </c>
      <c r="V471" s="1">
        <v>13</v>
      </c>
      <c r="W471" s="1">
        <v>11</v>
      </c>
      <c r="X471" s="1">
        <v>215</v>
      </c>
      <c r="Y471" s="5">
        <f>STREAMS_STATS[[#This Row],[Duration]]/60</f>
        <v>3.5833333333333335</v>
      </c>
      <c r="Z471" s="1">
        <v>2</v>
      </c>
      <c r="AA471" s="1">
        <v>6</v>
      </c>
      <c r="AB471" s="1">
        <v>74</v>
      </c>
    </row>
    <row r="472" spans="1:28">
      <c r="A472" t="s">
        <v>728</v>
      </c>
      <c r="B472" s="1" t="s">
        <v>117</v>
      </c>
      <c r="C472" s="1" t="s">
        <v>67</v>
      </c>
      <c r="D472" s="1">
        <v>2011</v>
      </c>
      <c r="E472" s="3">
        <v>219196651</v>
      </c>
      <c r="F472" s="3" t="str" cm="1">
        <f t="array" ref="F47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72" s="1">
        <v>1517</v>
      </c>
      <c r="H472" s="1">
        <v>215</v>
      </c>
      <c r="I472" s="1">
        <v>9</v>
      </c>
      <c r="J472" s="1">
        <v>37555</v>
      </c>
      <c r="K472" s="1">
        <v>80</v>
      </c>
      <c r="L472" s="1">
        <v>7620</v>
      </c>
      <c r="M472" s="1">
        <v>173</v>
      </c>
      <c r="N472" s="1">
        <v>15579</v>
      </c>
      <c r="O472" s="1">
        <v>361</v>
      </c>
      <c r="P472" s="2">
        <f>SUM(STREAMS_STATS[[#This Row],[In Spotify Playlists]],STREAMS_STATS[[#This Row],[In Apple Playlists]],STREAMS_STATS[[#This Row],[In Deezer Playlists]],STREAMS_STATS[[#This Row],[In YouTube Playlists]])</f>
        <v>62271</v>
      </c>
      <c r="Q472" s="1">
        <v>127</v>
      </c>
      <c r="R472" s="1">
        <v>-7</v>
      </c>
      <c r="S472" s="1" t="s">
        <v>75</v>
      </c>
      <c r="T472" s="1">
        <v>74</v>
      </c>
      <c r="U472" s="1">
        <v>77</v>
      </c>
      <c r="V472" s="1">
        <v>40</v>
      </c>
      <c r="W472" s="1">
        <v>59</v>
      </c>
      <c r="X472" s="1">
        <v>201</v>
      </c>
      <c r="Y472" s="5">
        <f>STREAMS_STATS[[#This Row],[Duration]]/60</f>
        <v>3.35</v>
      </c>
      <c r="Z472" s="1">
        <v>6</v>
      </c>
      <c r="AA472" s="1">
        <v>23</v>
      </c>
      <c r="AB472" s="1">
        <v>38</v>
      </c>
    </row>
    <row r="473" spans="1:28">
      <c r="A473" t="s">
        <v>729</v>
      </c>
      <c r="B473" s="1" t="s">
        <v>730</v>
      </c>
      <c r="C473" s="1" t="s">
        <v>67</v>
      </c>
      <c r="D473" s="1">
        <v>2018</v>
      </c>
      <c r="E473" s="3">
        <v>611700552</v>
      </c>
      <c r="F473" s="3" t="str" cm="1">
        <f t="array" ref="F47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73" s="1">
        <v>5115</v>
      </c>
      <c r="H473" s="1">
        <v>386</v>
      </c>
      <c r="I473" s="1">
        <v>10</v>
      </c>
      <c r="J473" s="1">
        <v>37437</v>
      </c>
      <c r="K473" s="1">
        <v>10</v>
      </c>
      <c r="L473" s="1">
        <v>177</v>
      </c>
      <c r="M473" s="1">
        <v>4</v>
      </c>
      <c r="N473" s="1">
        <v>13939</v>
      </c>
      <c r="O473" s="1">
        <v>380</v>
      </c>
      <c r="P473" s="2">
        <f>SUM(STREAMS_STATS[[#This Row],[In Spotify Playlists]],STREAMS_STATS[[#This Row],[In Apple Playlists]],STREAMS_STATS[[#This Row],[In Deezer Playlists]],STREAMS_STATS[[#This Row],[In YouTube Playlists]])</f>
        <v>56668</v>
      </c>
      <c r="Q473" s="1">
        <v>140</v>
      </c>
      <c r="R473" s="1">
        <v>-5</v>
      </c>
      <c r="S473" s="1" t="s">
        <v>68</v>
      </c>
      <c r="T473" s="1">
        <v>62</v>
      </c>
      <c r="U473" s="1">
        <v>77</v>
      </c>
      <c r="V473" s="1">
        <v>21</v>
      </c>
      <c r="W473" s="1">
        <v>68</v>
      </c>
      <c r="X473" s="1">
        <v>191</v>
      </c>
      <c r="Y473" s="5">
        <f>STREAMS_STATS[[#This Row],[Duration]]/60</f>
        <v>3.1833333333333331</v>
      </c>
      <c r="Z473" s="1">
        <v>6</v>
      </c>
      <c r="AA473" s="1">
        <v>10</v>
      </c>
      <c r="AB473" s="1">
        <v>72</v>
      </c>
    </row>
    <row r="474" spans="1:28">
      <c r="A474" t="s">
        <v>731</v>
      </c>
      <c r="B474" s="1" t="s">
        <v>219</v>
      </c>
      <c r="C474" s="1" t="s">
        <v>67</v>
      </c>
      <c r="D474" s="1">
        <v>2018</v>
      </c>
      <c r="E474" s="3">
        <v>283359161</v>
      </c>
      <c r="F474" s="3" t="str" cm="1">
        <f t="array" ref="F47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74" s="1">
        <v>2096</v>
      </c>
      <c r="H474" s="1">
        <v>265</v>
      </c>
      <c r="I474" s="1">
        <v>1</v>
      </c>
      <c r="J474" s="1">
        <v>31770</v>
      </c>
      <c r="K474" s="1">
        <v>1</v>
      </c>
      <c r="L474" s="1">
        <v>80</v>
      </c>
      <c r="M474" s="1">
        <v>2</v>
      </c>
      <c r="N474" s="1">
        <v>13946</v>
      </c>
      <c r="O474" s="1">
        <v>350</v>
      </c>
      <c r="P474" s="2">
        <f>SUM(STREAMS_STATS[[#This Row],[In Spotify Playlists]],STREAMS_STATS[[#This Row],[In Apple Playlists]],STREAMS_STATS[[#This Row],[In Deezer Playlists]],STREAMS_STATS[[#This Row],[In YouTube Playlists]])</f>
        <v>47892</v>
      </c>
      <c r="Q474" s="1">
        <v>120</v>
      </c>
      <c r="R474" s="1">
        <v>-7</v>
      </c>
      <c r="S474" s="1" t="s">
        <v>68</v>
      </c>
      <c r="T474" s="1">
        <v>55</v>
      </c>
      <c r="U474" s="1">
        <v>79</v>
      </c>
      <c r="V474" s="1">
        <v>13</v>
      </c>
      <c r="W474" s="1">
        <v>23</v>
      </c>
      <c r="X474" s="1">
        <v>226</v>
      </c>
      <c r="Y474" s="5">
        <f>STREAMS_STATS[[#This Row],[Duration]]/60</f>
        <v>3.7666666666666666</v>
      </c>
      <c r="Z474" s="1">
        <v>1</v>
      </c>
      <c r="AA474" s="1">
        <v>5</v>
      </c>
      <c r="AB474" s="1">
        <v>57</v>
      </c>
    </row>
    <row r="475" spans="1:28">
      <c r="A475" t="s">
        <v>732</v>
      </c>
      <c r="B475" s="1" t="s">
        <v>34</v>
      </c>
      <c r="C475" s="1" t="s">
        <v>67</v>
      </c>
      <c r="D475" s="1">
        <v>2013</v>
      </c>
      <c r="E475" s="3">
        <v>674772936</v>
      </c>
      <c r="F475" s="3" t="str" cm="1">
        <f t="array" ref="F47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75" s="1">
        <v>5669</v>
      </c>
      <c r="H475" s="1">
        <v>195</v>
      </c>
      <c r="I475" s="1">
        <v>21</v>
      </c>
      <c r="J475" s="1">
        <v>21089</v>
      </c>
      <c r="K475" s="1">
        <v>4</v>
      </c>
      <c r="L475" s="1">
        <v>39</v>
      </c>
      <c r="M475" s="1">
        <v>23</v>
      </c>
      <c r="N475" s="1">
        <v>38336</v>
      </c>
      <c r="O475" s="1">
        <v>185</v>
      </c>
      <c r="P475" s="2">
        <f>SUM(STREAMS_STATS[[#This Row],[In Spotify Playlists]],STREAMS_STATS[[#This Row],[In Apple Playlists]],STREAMS_STATS[[#This Row],[In Deezer Playlists]],STREAMS_STATS[[#This Row],[In YouTube Playlists]])</f>
        <v>65133</v>
      </c>
      <c r="Q475" s="1">
        <v>128</v>
      </c>
      <c r="R475" s="1">
        <v>-4</v>
      </c>
      <c r="S475" s="1" t="s">
        <v>68</v>
      </c>
      <c r="T475" s="1">
        <v>93</v>
      </c>
      <c r="U475" s="1">
        <v>57</v>
      </c>
      <c r="V475" s="1">
        <v>6</v>
      </c>
      <c r="W475" s="1">
        <v>58</v>
      </c>
      <c r="X475" s="1">
        <v>213</v>
      </c>
      <c r="Y475" s="5">
        <f>STREAMS_STATS[[#This Row],[Duration]]/60</f>
        <v>3.55</v>
      </c>
      <c r="Z475" s="1">
        <v>20</v>
      </c>
      <c r="AA475" s="1">
        <v>11</v>
      </c>
      <c r="AB475" s="1">
        <v>72</v>
      </c>
    </row>
    <row r="476" spans="1:28">
      <c r="A476" t="s">
        <v>733</v>
      </c>
      <c r="B476" s="1" t="s">
        <v>162</v>
      </c>
      <c r="C476" s="1" t="s">
        <v>67</v>
      </c>
      <c r="D476" s="1">
        <v>2017</v>
      </c>
      <c r="E476" s="3">
        <v>703301727</v>
      </c>
      <c r="F476" s="3" t="str" cm="1">
        <f t="array" ref="F47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76" s="1">
        <v>6080</v>
      </c>
      <c r="H476" s="1">
        <v>132</v>
      </c>
      <c r="I476" s="1">
        <v>10</v>
      </c>
      <c r="J476" s="1">
        <v>17218</v>
      </c>
      <c r="K476" s="1">
        <v>10</v>
      </c>
      <c r="L476" s="1">
        <v>33</v>
      </c>
      <c r="M476" s="1">
        <v>33</v>
      </c>
      <c r="N476" s="1">
        <v>6506</v>
      </c>
      <c r="O476" s="1">
        <v>109</v>
      </c>
      <c r="P476" s="2">
        <f>SUM(STREAMS_STATS[[#This Row],[In Spotify Playlists]],STREAMS_STATS[[#This Row],[In Apple Playlists]],STREAMS_STATS[[#This Row],[In Deezer Playlists]],STREAMS_STATS[[#This Row],[In YouTube Playlists]])</f>
        <v>29837</v>
      </c>
      <c r="Q476" s="1">
        <v>120</v>
      </c>
      <c r="R476" s="1">
        <v>-5</v>
      </c>
      <c r="S476" s="1" t="s">
        <v>68</v>
      </c>
      <c r="T476" s="1">
        <v>71</v>
      </c>
      <c r="U476" s="1">
        <v>84</v>
      </c>
      <c r="V476" s="1">
        <v>10</v>
      </c>
      <c r="W476" s="1">
        <v>57</v>
      </c>
      <c r="X476" s="1">
        <v>243</v>
      </c>
      <c r="Y476" s="5">
        <f>STREAMS_STATS[[#This Row],[Duration]]/60</f>
        <v>4.05</v>
      </c>
      <c r="Z476" s="1">
        <v>2</v>
      </c>
      <c r="AA476" s="1">
        <v>4</v>
      </c>
      <c r="AB476" s="1">
        <v>73</v>
      </c>
    </row>
    <row r="477" spans="1:28">
      <c r="A477" t="s">
        <v>734</v>
      </c>
      <c r="B477" s="1" t="s">
        <v>219</v>
      </c>
      <c r="C477" s="1" t="s">
        <v>67</v>
      </c>
      <c r="D477" s="1">
        <v>2013</v>
      </c>
      <c r="E477" s="3">
        <v>264717480</v>
      </c>
      <c r="F477" s="3" t="str" cm="1">
        <f t="array" ref="F47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77" s="1">
        <v>1962</v>
      </c>
      <c r="H477" s="1">
        <v>281</v>
      </c>
      <c r="I477" s="1">
        <v>123</v>
      </c>
      <c r="J477" s="1">
        <v>37083</v>
      </c>
      <c r="K477" s="1">
        <v>123</v>
      </c>
      <c r="L477" s="1">
        <v>410</v>
      </c>
      <c r="M477" s="1">
        <v>2</v>
      </c>
      <c r="N477" s="1">
        <v>17816</v>
      </c>
      <c r="O477" s="1">
        <v>63</v>
      </c>
      <c r="P477" s="2">
        <f>SUM(STREAMS_STATS[[#This Row],[In Spotify Playlists]],STREAMS_STATS[[#This Row],[In Apple Playlists]],STREAMS_STATS[[#This Row],[In Deezer Playlists]],STREAMS_STATS[[#This Row],[In YouTube Playlists]])</f>
        <v>57271</v>
      </c>
      <c r="Q477" s="1">
        <v>107</v>
      </c>
      <c r="R477" s="1">
        <v>-5</v>
      </c>
      <c r="S477" s="1" t="s">
        <v>75</v>
      </c>
      <c r="T477" s="1">
        <v>66</v>
      </c>
      <c r="U477" s="1">
        <v>59</v>
      </c>
      <c r="V477" s="1">
        <v>64</v>
      </c>
      <c r="W477" s="1">
        <v>33</v>
      </c>
      <c r="X477" s="1">
        <v>353</v>
      </c>
      <c r="Y477" s="5">
        <f>STREAMS_STATS[[#This Row],[Duration]]/60</f>
        <v>5.8833333333333337</v>
      </c>
      <c r="Z477" s="1">
        <v>4</v>
      </c>
      <c r="AA477" s="1">
        <v>16</v>
      </c>
      <c r="AB477" s="1">
        <v>54</v>
      </c>
    </row>
    <row r="478" spans="1:28">
      <c r="A478" t="s">
        <v>735</v>
      </c>
      <c r="B478" s="1" t="s">
        <v>164</v>
      </c>
      <c r="C478" s="1" t="s">
        <v>67</v>
      </c>
      <c r="D478" s="1">
        <v>2010</v>
      </c>
      <c r="E478" s="3">
        <v>421365166</v>
      </c>
      <c r="F478" s="3" t="str" cm="1">
        <f t="array" ref="F47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78" s="1">
        <v>3297</v>
      </c>
      <c r="H478" s="1">
        <v>195</v>
      </c>
      <c r="I478" s="1">
        <v>306</v>
      </c>
      <c r="J478" s="1">
        <v>7190</v>
      </c>
      <c r="K478" s="1">
        <v>84</v>
      </c>
      <c r="L478" s="1">
        <v>8439</v>
      </c>
      <c r="M478" s="1">
        <v>105</v>
      </c>
      <c r="N478" s="1">
        <v>36190</v>
      </c>
      <c r="O478" s="1">
        <v>354</v>
      </c>
      <c r="P478" s="2">
        <f>SUM(STREAMS_STATS[[#This Row],[In Spotify Playlists]],STREAMS_STATS[[#This Row],[In Apple Playlists]],STREAMS_STATS[[#This Row],[In Deezer Playlists]],STREAMS_STATS[[#This Row],[In YouTube Playlists]])</f>
        <v>55116</v>
      </c>
      <c r="Q478" s="1">
        <v>125</v>
      </c>
      <c r="R478" s="1">
        <v>-5</v>
      </c>
      <c r="S478" s="1" t="s">
        <v>68</v>
      </c>
      <c r="T478" s="1">
        <v>68</v>
      </c>
      <c r="U478" s="1">
        <v>73</v>
      </c>
      <c r="V478" s="1">
        <v>9</v>
      </c>
      <c r="W478" s="1">
        <v>74</v>
      </c>
      <c r="X478" s="1">
        <v>215</v>
      </c>
      <c r="Y478" s="5">
        <f>STREAMS_STATS[[#This Row],[Duration]]/60</f>
        <v>3.5833333333333335</v>
      </c>
      <c r="Z478" s="1">
        <v>0</v>
      </c>
      <c r="AA478" s="1">
        <v>3</v>
      </c>
      <c r="AB478" s="1">
        <v>66</v>
      </c>
    </row>
    <row r="479" spans="1:28">
      <c r="A479" t="s">
        <v>736</v>
      </c>
      <c r="B479" s="1" t="s">
        <v>737</v>
      </c>
      <c r="C479" s="1" t="s">
        <v>17</v>
      </c>
      <c r="D479" s="1">
        <v>2015</v>
      </c>
      <c r="E479" s="3">
        <v>1647990401</v>
      </c>
      <c r="F479" s="3" t="str" cm="1">
        <f t="array" ref="F479">_xlfn.IFS(STREAMS_STATS[[#This Row],[Streams]] &gt;= 1000000000, "1B+", STREAMS_STATS[[#This Row],[Streams]] &gt;= 500000000, "500M–1B", STREAMS_STATS[[#This Row],[Streams]] &gt;= 250000000, "250M–500M", TRUE, "Under 250M")</f>
        <v>1B+</v>
      </c>
      <c r="G479" s="1">
        <v>20333</v>
      </c>
      <c r="H479" s="1">
        <v>22</v>
      </c>
      <c r="I479" s="1">
        <v>14</v>
      </c>
      <c r="J479" s="1">
        <v>22808</v>
      </c>
      <c r="K479" s="1">
        <v>14</v>
      </c>
      <c r="L479" s="1">
        <v>80</v>
      </c>
      <c r="M479" s="1">
        <v>12</v>
      </c>
      <c r="N479" s="1">
        <v>29903</v>
      </c>
      <c r="O479" s="1">
        <v>6</v>
      </c>
      <c r="P479" s="2">
        <f>SUM(STREAMS_STATS[[#This Row],[In Spotify Playlists]],STREAMS_STATS[[#This Row],[In Apple Playlists]],STREAMS_STATS[[#This Row],[In Deezer Playlists]],STREAMS_STATS[[#This Row],[In YouTube Playlists]])</f>
        <v>73124</v>
      </c>
      <c r="Q479" s="1">
        <v>129</v>
      </c>
      <c r="R479" s="1">
        <v>-5</v>
      </c>
      <c r="S479" s="1" t="s">
        <v>75</v>
      </c>
      <c r="T479" s="1">
        <v>66</v>
      </c>
      <c r="U479" s="1">
        <v>57</v>
      </c>
      <c r="V479" s="1">
        <v>12</v>
      </c>
      <c r="W479" s="1">
        <v>44</v>
      </c>
      <c r="X479" s="1">
        <v>242</v>
      </c>
      <c r="Y479" s="5">
        <f>STREAMS_STATS[[#This Row],[Duration]]/60</f>
        <v>4.0333333333333332</v>
      </c>
      <c r="Z479" s="1">
        <v>63</v>
      </c>
      <c r="AA479" s="1">
        <v>5</v>
      </c>
      <c r="AB479" s="1">
        <v>81</v>
      </c>
    </row>
    <row r="480" spans="1:28">
      <c r="A480" t="s">
        <v>738</v>
      </c>
      <c r="B480" s="1" t="s">
        <v>35</v>
      </c>
      <c r="C480" s="1" t="s">
        <v>24</v>
      </c>
      <c r="D480" s="1">
        <v>2019</v>
      </c>
      <c r="E480" s="3">
        <v>1788326445</v>
      </c>
      <c r="F480" s="3" t="str" cm="1">
        <f t="array" ref="F480">_xlfn.IFS(STREAMS_STATS[[#This Row],[Streams]] &gt;= 1000000000, "1B+", STREAMS_STATS[[#This Row],[Streams]] &gt;= 500000000, "500M–1B", STREAMS_STATS[[#This Row],[Streams]] &gt;= 250000000, "250M–500M", TRUE, "Under 250M")</f>
        <v>1B+</v>
      </c>
      <c r="G480" s="1">
        <v>22543</v>
      </c>
      <c r="H480" s="1">
        <v>20</v>
      </c>
      <c r="I480" s="1">
        <v>24</v>
      </c>
      <c r="J480" s="1">
        <v>1802</v>
      </c>
      <c r="K480" s="1">
        <v>24</v>
      </c>
      <c r="L480" s="2">
        <v>1959</v>
      </c>
      <c r="M480" s="1">
        <v>33</v>
      </c>
      <c r="N480" s="1">
        <v>37613</v>
      </c>
      <c r="O480" s="1">
        <v>188</v>
      </c>
      <c r="P480" s="2">
        <f>SUM(STREAMS_STATS[[#This Row],[In Spotify Playlists]],STREAMS_STATS[[#This Row],[In Apple Playlists]],STREAMS_STATS[[#This Row],[In Deezer Playlists]],STREAMS_STATS[[#This Row],[In YouTube Playlists]])</f>
        <v>63917</v>
      </c>
      <c r="Q480" s="1">
        <v>100</v>
      </c>
      <c r="R480" s="1">
        <v>-8</v>
      </c>
      <c r="S480" s="1" t="s">
        <v>68</v>
      </c>
      <c r="T480" s="1">
        <v>51</v>
      </c>
      <c r="U480" s="1">
        <v>53</v>
      </c>
      <c r="V480" s="1">
        <v>10</v>
      </c>
      <c r="W480" s="1">
        <v>35</v>
      </c>
      <c r="X480" s="1">
        <v>210</v>
      </c>
      <c r="Y480" s="5">
        <f>STREAMS_STATS[[#This Row],[Duration]]/60</f>
        <v>3.5</v>
      </c>
      <c r="Z480" s="1">
        <v>13</v>
      </c>
      <c r="AA480" s="1">
        <v>3</v>
      </c>
      <c r="AB480" s="1">
        <v>83</v>
      </c>
    </row>
    <row r="481" spans="1:28">
      <c r="A481" t="s">
        <v>739</v>
      </c>
      <c r="B481" s="1" t="s">
        <v>482</v>
      </c>
      <c r="C481" s="1" t="s">
        <v>22</v>
      </c>
      <c r="D481" s="1">
        <v>2019</v>
      </c>
      <c r="E481" s="3">
        <v>1047101291</v>
      </c>
      <c r="F481" s="3" t="str" cm="1">
        <f t="array" ref="F481">_xlfn.IFS(STREAMS_STATS[[#This Row],[Streams]] &gt;= 1000000000, "1B+", STREAMS_STATS[[#This Row],[Streams]] &gt;= 500000000, "500M–1B", STREAMS_STATS[[#This Row],[Streams]] &gt;= 250000000, "250M–500M", TRUE, "Under 250M")</f>
        <v>1B+</v>
      </c>
      <c r="G481" s="1">
        <v>9161</v>
      </c>
      <c r="H481" s="1">
        <v>87</v>
      </c>
      <c r="I481" s="1">
        <v>32</v>
      </c>
      <c r="J481" s="1">
        <v>21578</v>
      </c>
      <c r="K481" s="1">
        <v>32</v>
      </c>
      <c r="L481" s="1">
        <v>582</v>
      </c>
      <c r="M481" s="1">
        <v>38</v>
      </c>
      <c r="N481" s="1">
        <v>32352</v>
      </c>
      <c r="O481" s="1">
        <v>80</v>
      </c>
      <c r="P481" s="2">
        <f>SUM(STREAMS_STATS[[#This Row],[In Spotify Playlists]],STREAMS_STATS[[#This Row],[In Apple Playlists]],STREAMS_STATS[[#This Row],[In Deezer Playlists]],STREAMS_STATS[[#This Row],[In YouTube Playlists]])</f>
        <v>63673</v>
      </c>
      <c r="Q481" s="1">
        <v>96</v>
      </c>
      <c r="R481" s="1">
        <v>-4</v>
      </c>
      <c r="S481" s="1" t="s">
        <v>75</v>
      </c>
      <c r="T481" s="1">
        <v>80</v>
      </c>
      <c r="U481" s="1">
        <v>84</v>
      </c>
      <c r="V481" s="1">
        <v>6</v>
      </c>
      <c r="W481" s="1">
        <v>62</v>
      </c>
      <c r="X481" s="1">
        <v>213</v>
      </c>
      <c r="Y481" s="5">
        <f>STREAMS_STATS[[#This Row],[Duration]]/60</f>
        <v>3.55</v>
      </c>
      <c r="Z481" s="1">
        <v>16</v>
      </c>
      <c r="AA481" s="1">
        <v>23</v>
      </c>
      <c r="AB481" s="1">
        <v>77</v>
      </c>
    </row>
    <row r="482" spans="1:28">
      <c r="A482" t="s">
        <v>740</v>
      </c>
      <c r="B482" s="1" t="s">
        <v>741</v>
      </c>
      <c r="C482" s="1" t="s">
        <v>15</v>
      </c>
      <c r="D482" s="1">
        <v>2019</v>
      </c>
      <c r="E482" s="3">
        <v>1897517891</v>
      </c>
      <c r="F482" s="3" t="str" cm="1">
        <f t="array" ref="F482">_xlfn.IFS(STREAMS_STATS[[#This Row],[Streams]] &gt;= 1000000000, "1B+", STREAMS_STATS[[#This Row],[Streams]] &gt;= 500000000, "500M–1B", STREAMS_STATS[[#This Row],[Streams]] &gt;= 250000000, "250M–500M", TRUE, "Under 250M")</f>
        <v>1B+</v>
      </c>
      <c r="G482" s="1">
        <v>25653</v>
      </c>
      <c r="H482" s="1">
        <v>13</v>
      </c>
      <c r="I482" s="1">
        <v>266</v>
      </c>
      <c r="J482" s="1">
        <v>11399</v>
      </c>
      <c r="K482" s="1">
        <v>266</v>
      </c>
      <c r="L482" s="1">
        <v>78</v>
      </c>
      <c r="M482" s="1">
        <v>47</v>
      </c>
      <c r="N482" s="1">
        <v>12337</v>
      </c>
      <c r="O482" s="1">
        <v>267</v>
      </c>
      <c r="P482" s="2">
        <f>SUM(STREAMS_STATS[[#This Row],[In Spotify Playlists]],STREAMS_STATS[[#This Row],[In Apple Playlists]],STREAMS_STATS[[#This Row],[In Deezer Playlists]],STREAMS_STATS[[#This Row],[In YouTube Playlists]])</f>
        <v>49467</v>
      </c>
      <c r="Q482" s="1">
        <v>136</v>
      </c>
      <c r="R482" s="1">
        <v>-9</v>
      </c>
      <c r="S482" s="1" t="s">
        <v>68</v>
      </c>
      <c r="T482" s="1">
        <v>40</v>
      </c>
      <c r="U482" s="1">
        <v>90</v>
      </c>
      <c r="V482" s="1">
        <v>6</v>
      </c>
      <c r="W482" s="1">
        <v>35</v>
      </c>
      <c r="X482" s="1">
        <v>198</v>
      </c>
      <c r="Y482" s="5">
        <f>STREAMS_STATS[[#This Row],[Duration]]/60</f>
        <v>3.3</v>
      </c>
      <c r="Z482" s="1">
        <v>5</v>
      </c>
      <c r="AA482" s="1">
        <v>13</v>
      </c>
      <c r="AB482" s="1">
        <v>84</v>
      </c>
    </row>
    <row r="483" spans="1:28">
      <c r="A483" t="s">
        <v>742</v>
      </c>
      <c r="B483" s="1" t="s">
        <v>743</v>
      </c>
      <c r="C483" s="1" t="s">
        <v>67</v>
      </c>
      <c r="D483" s="1">
        <v>2014</v>
      </c>
      <c r="E483" s="3">
        <v>471819764</v>
      </c>
      <c r="F483" s="3" t="str" cm="1">
        <f t="array" ref="F48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83" s="1">
        <v>3711</v>
      </c>
      <c r="H483" s="1">
        <v>126</v>
      </c>
      <c r="I483" s="1">
        <v>2</v>
      </c>
      <c r="J483" s="1">
        <v>154</v>
      </c>
      <c r="K483" s="1">
        <v>2</v>
      </c>
      <c r="L483" s="1">
        <v>33</v>
      </c>
      <c r="M483" s="1">
        <v>42</v>
      </c>
      <c r="N483" s="1">
        <v>34112</v>
      </c>
      <c r="O483" s="1">
        <v>99</v>
      </c>
      <c r="P483" s="2">
        <f>SUM(STREAMS_STATS[[#This Row],[In Spotify Playlists]],STREAMS_STATS[[#This Row],[In Apple Playlists]],STREAMS_STATS[[#This Row],[In Deezer Playlists]],STREAMS_STATS[[#This Row],[In YouTube Playlists]])</f>
        <v>38010</v>
      </c>
      <c r="Q483" s="1">
        <v>100</v>
      </c>
      <c r="R483" s="1">
        <v>-7</v>
      </c>
      <c r="S483" s="1" t="s">
        <v>68</v>
      </c>
      <c r="T483" s="1">
        <v>65</v>
      </c>
      <c r="U483" s="1">
        <v>76</v>
      </c>
      <c r="V483" s="1">
        <v>31</v>
      </c>
      <c r="W483" s="1">
        <v>76</v>
      </c>
      <c r="X483" s="1">
        <v>178</v>
      </c>
      <c r="Y483" s="5">
        <f>STREAMS_STATS[[#This Row],[Duration]]/60</f>
        <v>2.9666666666666668</v>
      </c>
      <c r="Z483" s="1">
        <v>3</v>
      </c>
      <c r="AA483" s="1">
        <v>23</v>
      </c>
      <c r="AB483" s="1">
        <v>68</v>
      </c>
    </row>
    <row r="484" spans="1:28">
      <c r="A484" t="s">
        <v>744</v>
      </c>
      <c r="B484" s="1" t="s">
        <v>745</v>
      </c>
      <c r="C484" s="1" t="s">
        <v>287</v>
      </c>
      <c r="D484" s="1">
        <v>2014</v>
      </c>
      <c r="E484" s="3">
        <v>723043854</v>
      </c>
      <c r="F484" s="3" t="str" cm="1">
        <f t="array" ref="F48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84" s="1">
        <v>6330</v>
      </c>
      <c r="H484" s="1">
        <v>364</v>
      </c>
      <c r="I484" s="1">
        <v>8</v>
      </c>
      <c r="J484" s="1">
        <v>27755</v>
      </c>
      <c r="K484" s="1">
        <v>8</v>
      </c>
      <c r="L484" s="1">
        <v>5</v>
      </c>
      <c r="M484" s="1">
        <v>37</v>
      </c>
      <c r="N484" s="1">
        <v>33669</v>
      </c>
      <c r="O484" s="1">
        <v>37</v>
      </c>
      <c r="P484" s="2">
        <f>SUM(STREAMS_STATS[[#This Row],[In Spotify Playlists]],STREAMS_STATS[[#This Row],[In Apple Playlists]],STREAMS_STATS[[#This Row],[In Deezer Playlists]],STREAMS_STATS[[#This Row],[In YouTube Playlists]])</f>
        <v>67759</v>
      </c>
      <c r="Q484" s="1">
        <v>100</v>
      </c>
      <c r="R484" s="1">
        <v>-7</v>
      </c>
      <c r="S484" s="1" t="s">
        <v>75</v>
      </c>
      <c r="T484" s="1">
        <v>58</v>
      </c>
      <c r="U484" s="1">
        <v>69</v>
      </c>
      <c r="V484" s="1">
        <v>31</v>
      </c>
      <c r="W484" s="1">
        <v>42</v>
      </c>
      <c r="X484" s="1">
        <v>193</v>
      </c>
      <c r="Y484" s="5">
        <f>STREAMS_STATS[[#This Row],[Duration]]/60</f>
        <v>3.2166666666666668</v>
      </c>
      <c r="Z484" s="1">
        <v>17</v>
      </c>
      <c r="AA484" s="1">
        <v>9</v>
      </c>
      <c r="AB484" s="1">
        <v>73</v>
      </c>
    </row>
    <row r="485" spans="1:28">
      <c r="A485" t="s">
        <v>746</v>
      </c>
      <c r="B485" s="1" t="s">
        <v>459</v>
      </c>
      <c r="C485" s="1" t="s">
        <v>110</v>
      </c>
      <c r="D485" s="1">
        <v>2014</v>
      </c>
      <c r="E485" s="3">
        <v>240580042</v>
      </c>
      <c r="F485" s="3" t="str" cm="1">
        <f t="array" ref="F485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85" s="1">
        <v>1685</v>
      </c>
      <c r="H485" s="1">
        <v>147</v>
      </c>
      <c r="I485" s="1">
        <v>3</v>
      </c>
      <c r="J485" s="1">
        <v>21903</v>
      </c>
      <c r="K485" s="1">
        <v>30</v>
      </c>
      <c r="L485" s="1">
        <v>14</v>
      </c>
      <c r="M485" s="1">
        <v>6</v>
      </c>
      <c r="N485" s="1">
        <v>5998</v>
      </c>
      <c r="O485" s="1">
        <v>262</v>
      </c>
      <c r="P485" s="2">
        <f>SUM(STREAMS_STATS[[#This Row],[In Spotify Playlists]],STREAMS_STATS[[#This Row],[In Apple Playlists]],STREAMS_STATS[[#This Row],[In Deezer Playlists]],STREAMS_STATS[[#This Row],[In YouTube Playlists]])</f>
        <v>29600</v>
      </c>
      <c r="Q485" s="1">
        <v>76</v>
      </c>
      <c r="R485" s="1">
        <v>-9</v>
      </c>
      <c r="S485" s="1" t="s">
        <v>68</v>
      </c>
      <c r="T485" s="1">
        <v>34</v>
      </c>
      <c r="U485" s="1">
        <v>68</v>
      </c>
      <c r="V485" s="1">
        <v>9</v>
      </c>
      <c r="W485" s="1">
        <v>56</v>
      </c>
      <c r="X485" s="1">
        <v>160</v>
      </c>
      <c r="Y485" s="5">
        <f>STREAMS_STATS[[#This Row],[Duration]]/60</f>
        <v>2.6666666666666665</v>
      </c>
      <c r="Z485" s="1">
        <v>84</v>
      </c>
      <c r="AA485" s="1">
        <v>3</v>
      </c>
      <c r="AB485" s="1">
        <v>49</v>
      </c>
    </row>
    <row r="486" spans="1:28">
      <c r="A486" t="s">
        <v>747</v>
      </c>
      <c r="B486" s="1" t="s">
        <v>162</v>
      </c>
      <c r="C486" s="1" t="s">
        <v>67</v>
      </c>
      <c r="D486" s="1">
        <v>2010</v>
      </c>
      <c r="E486" s="3">
        <v>349746291</v>
      </c>
      <c r="F486" s="3" t="str" cm="1">
        <f t="array" ref="F48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86" s="1">
        <v>2711</v>
      </c>
      <c r="H486" s="1">
        <v>437</v>
      </c>
      <c r="I486" s="1">
        <v>321</v>
      </c>
      <c r="J486" s="1">
        <v>25124</v>
      </c>
      <c r="K486" s="1">
        <v>94</v>
      </c>
      <c r="L486" s="1">
        <v>9716</v>
      </c>
      <c r="M486" s="1">
        <v>88</v>
      </c>
      <c r="N486" s="1">
        <v>26814</v>
      </c>
      <c r="O486" s="1">
        <v>124</v>
      </c>
      <c r="P486" s="2">
        <f>SUM(STREAMS_STATS[[#This Row],[In Spotify Playlists]],STREAMS_STATS[[#This Row],[In Apple Playlists]],STREAMS_STATS[[#This Row],[In Deezer Playlists]],STREAMS_STATS[[#This Row],[In YouTube Playlists]])</f>
        <v>64365</v>
      </c>
      <c r="Q486" s="1">
        <v>120</v>
      </c>
      <c r="R486" s="1">
        <v>-5</v>
      </c>
      <c r="S486" s="1" t="s">
        <v>68</v>
      </c>
      <c r="T486" s="1">
        <v>80</v>
      </c>
      <c r="U486" s="1">
        <v>72</v>
      </c>
      <c r="V486" s="1">
        <v>13</v>
      </c>
      <c r="W486" s="1">
        <v>59</v>
      </c>
      <c r="X486" s="1">
        <v>228</v>
      </c>
      <c r="Y486" s="5">
        <f>STREAMS_STATS[[#This Row],[Duration]]/60</f>
        <v>3.8</v>
      </c>
      <c r="Z486" s="1">
        <v>2</v>
      </c>
      <c r="AA486" s="1">
        <v>4</v>
      </c>
      <c r="AB486" s="1">
        <v>63</v>
      </c>
    </row>
    <row r="487" spans="1:28">
      <c r="A487" t="s">
        <v>748</v>
      </c>
      <c r="B487" s="1" t="s">
        <v>97</v>
      </c>
      <c r="C487" s="1" t="s">
        <v>67</v>
      </c>
      <c r="D487" s="1">
        <v>2010</v>
      </c>
      <c r="E487" s="3">
        <v>769213520</v>
      </c>
      <c r="F487" s="3" t="str" cm="1">
        <f t="array" ref="F48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87" s="1">
        <v>6646</v>
      </c>
      <c r="H487" s="1">
        <v>285</v>
      </c>
      <c r="I487" s="1">
        <v>208</v>
      </c>
      <c r="J487" s="1">
        <v>18271</v>
      </c>
      <c r="K487" s="1">
        <v>50</v>
      </c>
      <c r="L487" s="1">
        <v>8264</v>
      </c>
      <c r="M487" s="1">
        <v>189</v>
      </c>
      <c r="N487" s="1">
        <v>9250</v>
      </c>
      <c r="O487" s="1">
        <v>147</v>
      </c>
      <c r="P487" s="2">
        <f>SUM(STREAMS_STATS[[#This Row],[In Spotify Playlists]],STREAMS_STATS[[#This Row],[In Apple Playlists]],STREAMS_STATS[[#This Row],[In Deezer Playlists]],STREAMS_STATS[[#This Row],[In YouTube Playlists]])</f>
        <v>42431</v>
      </c>
      <c r="Q487" s="1">
        <v>122</v>
      </c>
      <c r="R487" s="1">
        <v>-6</v>
      </c>
      <c r="S487" s="1" t="s">
        <v>75</v>
      </c>
      <c r="T487" s="1">
        <v>83</v>
      </c>
      <c r="U487" s="1">
        <v>83</v>
      </c>
      <c r="V487" s="1">
        <v>11</v>
      </c>
      <c r="W487" s="1">
        <v>71</v>
      </c>
      <c r="X487" s="1">
        <v>221</v>
      </c>
      <c r="Y487" s="5">
        <f>STREAMS_STATS[[#This Row],[Duration]]/60</f>
        <v>3.6833333333333331</v>
      </c>
      <c r="Z487" s="1">
        <v>1</v>
      </c>
      <c r="AA487" s="1">
        <v>4</v>
      </c>
      <c r="AB487" s="1">
        <v>73</v>
      </c>
    </row>
    <row r="488" spans="1:28">
      <c r="A488" t="s">
        <v>749</v>
      </c>
      <c r="B488" s="1" t="s">
        <v>179</v>
      </c>
      <c r="C488" s="1" t="s">
        <v>67</v>
      </c>
      <c r="D488" s="1">
        <v>2018</v>
      </c>
      <c r="E488" s="3">
        <v>225259194</v>
      </c>
      <c r="F488" s="3" t="str" cm="1">
        <f t="array" ref="F48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488" s="1">
        <v>1585</v>
      </c>
      <c r="H488" s="1">
        <v>202</v>
      </c>
      <c r="I488" s="1">
        <v>5</v>
      </c>
      <c r="J488" s="1">
        <v>33952</v>
      </c>
      <c r="K488" s="1">
        <v>5</v>
      </c>
      <c r="L488" s="1">
        <v>67</v>
      </c>
      <c r="M488" s="1">
        <v>1</v>
      </c>
      <c r="N488" s="1">
        <v>18695</v>
      </c>
      <c r="O488" s="1">
        <v>199</v>
      </c>
      <c r="P488" s="2">
        <f>SUM(STREAMS_STATS[[#This Row],[In Spotify Playlists]],STREAMS_STATS[[#This Row],[In Apple Playlists]],STREAMS_STATS[[#This Row],[In Deezer Playlists]],STREAMS_STATS[[#This Row],[In YouTube Playlists]])</f>
        <v>54299</v>
      </c>
      <c r="Q488" s="1">
        <v>102</v>
      </c>
      <c r="R488" s="1">
        <v>-5</v>
      </c>
      <c r="S488" s="1" t="s">
        <v>75</v>
      </c>
      <c r="T488" s="1">
        <v>77</v>
      </c>
      <c r="U488" s="1">
        <v>58</v>
      </c>
      <c r="V488" s="1">
        <v>9</v>
      </c>
      <c r="W488" s="1">
        <v>76</v>
      </c>
      <c r="X488" s="1">
        <v>182</v>
      </c>
      <c r="Y488" s="5">
        <f>STREAMS_STATS[[#This Row],[Duration]]/60</f>
        <v>3.0333333333333332</v>
      </c>
      <c r="Z488" s="1">
        <v>5</v>
      </c>
      <c r="AA488" s="1">
        <v>8</v>
      </c>
      <c r="AB488" s="1">
        <v>44</v>
      </c>
    </row>
    <row r="489" spans="1:28">
      <c r="A489" t="s">
        <v>750</v>
      </c>
      <c r="B489" s="1" t="s">
        <v>751</v>
      </c>
      <c r="C489" s="1" t="s">
        <v>752</v>
      </c>
      <c r="D489" s="1">
        <v>2018</v>
      </c>
      <c r="E489" s="3">
        <v>899183384</v>
      </c>
      <c r="F489" s="3" t="str" cm="1">
        <f t="array" ref="F48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89" s="1">
        <v>8087</v>
      </c>
      <c r="H489" s="1">
        <v>91</v>
      </c>
      <c r="I489" s="1">
        <v>127</v>
      </c>
      <c r="J489" s="1">
        <v>33777</v>
      </c>
      <c r="K489" s="1">
        <v>127</v>
      </c>
      <c r="L489" s="2">
        <v>1219</v>
      </c>
      <c r="M489" s="1">
        <v>38</v>
      </c>
      <c r="N489" s="1">
        <v>24024</v>
      </c>
      <c r="O489" s="1">
        <v>238</v>
      </c>
      <c r="P489" s="2">
        <f>SUM(STREAMS_STATS[[#This Row],[In Spotify Playlists]],STREAMS_STATS[[#This Row],[In Apple Playlists]],STREAMS_STATS[[#This Row],[In Deezer Playlists]],STREAMS_STATS[[#This Row],[In YouTube Playlists]])</f>
        <v>67107</v>
      </c>
      <c r="Q489" s="1">
        <v>86</v>
      </c>
      <c r="R489" s="1">
        <v>-6</v>
      </c>
      <c r="S489" s="1" t="s">
        <v>68</v>
      </c>
      <c r="T489" s="1">
        <v>59</v>
      </c>
      <c r="U489" s="1">
        <v>47</v>
      </c>
      <c r="V489" s="1">
        <v>13</v>
      </c>
      <c r="W489" s="1">
        <v>50</v>
      </c>
      <c r="X489" s="1">
        <v>196</v>
      </c>
      <c r="Y489" s="5">
        <f>STREAMS_STATS[[#This Row],[Duration]]/60</f>
        <v>3.2666666666666666</v>
      </c>
      <c r="Z489" s="1">
        <v>3</v>
      </c>
      <c r="AA489" s="1">
        <v>3</v>
      </c>
      <c r="AB489" s="1">
        <v>76</v>
      </c>
    </row>
    <row r="490" spans="1:28">
      <c r="A490" t="s">
        <v>753</v>
      </c>
      <c r="B490" s="1" t="s">
        <v>38</v>
      </c>
      <c r="C490" s="1" t="s">
        <v>25</v>
      </c>
      <c r="D490" s="1">
        <v>2017</v>
      </c>
      <c r="E490" s="3">
        <v>1814349763</v>
      </c>
      <c r="F490" s="3" t="str" cm="1">
        <f t="array" ref="F490">_xlfn.IFS(STREAMS_STATS[[#This Row],[Streams]] &gt;= 1000000000, "1B+", STREAMS_STATS[[#This Row],[Streams]] &gt;= 500000000, "500M–1B", STREAMS_STATS[[#This Row],[Streams]] &gt;= 250000000, "250M–500M", TRUE, "Under 250M")</f>
        <v>1B+</v>
      </c>
      <c r="G490" s="1">
        <v>23575</v>
      </c>
      <c r="H490" s="1">
        <v>18</v>
      </c>
      <c r="I490" s="1">
        <v>85</v>
      </c>
      <c r="J490" s="1">
        <v>25886</v>
      </c>
      <c r="K490" s="1">
        <v>85</v>
      </c>
      <c r="L490" s="1">
        <v>102</v>
      </c>
      <c r="M490" s="1">
        <v>17</v>
      </c>
      <c r="N490" s="1">
        <v>27733</v>
      </c>
      <c r="O490" s="1">
        <v>259</v>
      </c>
      <c r="P490" s="2">
        <f>SUM(STREAMS_STATS[[#This Row],[In Spotify Playlists]],STREAMS_STATS[[#This Row],[In Apple Playlists]],STREAMS_STATS[[#This Row],[In Deezer Playlists]],STREAMS_STATS[[#This Row],[In YouTube Playlists]])</f>
        <v>77296</v>
      </c>
      <c r="Q490" s="1">
        <v>134</v>
      </c>
      <c r="R490" s="1">
        <v>-5</v>
      </c>
      <c r="S490" s="1" t="s">
        <v>68</v>
      </c>
      <c r="T490" s="1">
        <v>56</v>
      </c>
      <c r="U490" s="1">
        <v>85</v>
      </c>
      <c r="V490" s="1">
        <v>9</v>
      </c>
      <c r="W490" s="1">
        <v>86</v>
      </c>
      <c r="X490" s="1">
        <v>207</v>
      </c>
      <c r="Y490" s="5">
        <f>STREAMS_STATS[[#This Row],[Duration]]/60</f>
        <v>3.45</v>
      </c>
      <c r="Z490" s="1">
        <v>1</v>
      </c>
      <c r="AA490" s="1">
        <v>4</v>
      </c>
      <c r="AB490" s="1">
        <v>83</v>
      </c>
    </row>
    <row r="491" spans="1:28">
      <c r="A491" t="s">
        <v>754</v>
      </c>
      <c r="B491" s="1" t="s">
        <v>97</v>
      </c>
      <c r="C491" s="1" t="s">
        <v>67</v>
      </c>
      <c r="D491" s="1">
        <v>2017</v>
      </c>
      <c r="E491" s="3">
        <v>582981380</v>
      </c>
      <c r="F491" s="3" t="str" cm="1">
        <f t="array" ref="F49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91" s="1">
        <v>4673</v>
      </c>
      <c r="H491" s="1">
        <v>424</v>
      </c>
      <c r="I491" s="1">
        <v>35</v>
      </c>
      <c r="J491" s="1">
        <v>25596</v>
      </c>
      <c r="K491" s="1">
        <v>35</v>
      </c>
      <c r="L491" s="1">
        <v>22</v>
      </c>
      <c r="M491" s="1">
        <v>2</v>
      </c>
      <c r="N491" s="1">
        <v>36322</v>
      </c>
      <c r="O491" s="1">
        <v>157</v>
      </c>
      <c r="P491" s="2">
        <f>SUM(STREAMS_STATS[[#This Row],[In Spotify Playlists]],STREAMS_STATS[[#This Row],[In Apple Playlists]],STREAMS_STATS[[#This Row],[In Deezer Playlists]],STREAMS_STATS[[#This Row],[In YouTube Playlists]])</f>
        <v>66613</v>
      </c>
      <c r="Q491" s="1">
        <v>100</v>
      </c>
      <c r="R491" s="1">
        <v>-5</v>
      </c>
      <c r="S491" s="1" t="s">
        <v>75</v>
      </c>
      <c r="T491" s="1">
        <v>51</v>
      </c>
      <c r="U491" s="1">
        <v>70</v>
      </c>
      <c r="V491" s="1">
        <v>9</v>
      </c>
      <c r="W491" s="1">
        <v>52</v>
      </c>
      <c r="X491" s="1">
        <v>211</v>
      </c>
      <c r="Y491" s="5">
        <f>STREAMS_STATS[[#This Row],[Duration]]/60</f>
        <v>3.5166666666666666</v>
      </c>
      <c r="Z491" s="1">
        <v>8</v>
      </c>
      <c r="AA491" s="1">
        <v>3</v>
      </c>
      <c r="AB491" s="1">
        <v>71</v>
      </c>
    </row>
    <row r="492" spans="1:28">
      <c r="A492" t="s">
        <v>755</v>
      </c>
      <c r="B492" s="1" t="s">
        <v>97</v>
      </c>
      <c r="C492" s="1" t="s">
        <v>67</v>
      </c>
      <c r="D492" s="1">
        <v>2011</v>
      </c>
      <c r="E492" s="3">
        <v>449701773</v>
      </c>
      <c r="F492" s="3" t="str" cm="1">
        <f t="array" ref="F49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92" s="1">
        <v>3517</v>
      </c>
      <c r="H492" s="1">
        <v>450</v>
      </c>
      <c r="I492" s="1">
        <v>314</v>
      </c>
      <c r="J492" s="1">
        <v>12825</v>
      </c>
      <c r="K492" s="1">
        <v>85</v>
      </c>
      <c r="L492" s="1">
        <v>6258</v>
      </c>
      <c r="M492" s="1">
        <v>54</v>
      </c>
      <c r="N492" s="1">
        <v>4235</v>
      </c>
      <c r="O492" s="1">
        <v>161</v>
      </c>
      <c r="P492" s="2">
        <f>SUM(STREAMS_STATS[[#This Row],[In Spotify Playlists]],STREAMS_STATS[[#This Row],[In Apple Playlists]],STREAMS_STATS[[#This Row],[In Deezer Playlists]],STREAMS_STATS[[#This Row],[In YouTube Playlists]])</f>
        <v>26835</v>
      </c>
      <c r="Q492" s="1">
        <v>128</v>
      </c>
      <c r="R492" s="1">
        <v>-6</v>
      </c>
      <c r="S492" s="1" t="s">
        <v>68</v>
      </c>
      <c r="T492" s="1">
        <v>77</v>
      </c>
      <c r="U492" s="1">
        <v>58</v>
      </c>
      <c r="V492" s="1">
        <v>11</v>
      </c>
      <c r="W492" s="1">
        <v>36</v>
      </c>
      <c r="X492" s="1">
        <v>321</v>
      </c>
      <c r="Y492" s="5">
        <f>STREAMS_STATS[[#This Row],[Duration]]/60</f>
        <v>5.35</v>
      </c>
      <c r="Z492" s="1">
        <v>0</v>
      </c>
      <c r="AA492" s="1">
        <v>4</v>
      </c>
      <c r="AB492" s="1">
        <v>67</v>
      </c>
    </row>
    <row r="493" spans="1:28">
      <c r="A493" t="s">
        <v>756</v>
      </c>
      <c r="B493" s="1" t="s">
        <v>37</v>
      </c>
      <c r="C493" s="1" t="s">
        <v>134</v>
      </c>
      <c r="D493" s="1">
        <v>2015</v>
      </c>
      <c r="E493" s="3">
        <v>432719968</v>
      </c>
      <c r="F493" s="3" t="str" cm="1">
        <f t="array" ref="F49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93" s="1">
        <v>3423</v>
      </c>
      <c r="H493" s="1">
        <v>389</v>
      </c>
      <c r="I493" s="1">
        <v>17</v>
      </c>
      <c r="J493" s="1">
        <v>16818</v>
      </c>
      <c r="K493" s="1">
        <v>17</v>
      </c>
      <c r="L493" s="1">
        <v>11</v>
      </c>
      <c r="M493" s="1">
        <v>31</v>
      </c>
      <c r="N493" s="1">
        <v>5113</v>
      </c>
      <c r="O493" s="1">
        <v>62</v>
      </c>
      <c r="P493" s="2">
        <f>SUM(STREAMS_STATS[[#This Row],[In Spotify Playlists]],STREAMS_STATS[[#This Row],[In Apple Playlists]],STREAMS_STATS[[#This Row],[In Deezer Playlists]],STREAMS_STATS[[#This Row],[In YouTube Playlists]])</f>
        <v>25365</v>
      </c>
      <c r="Q493" s="1">
        <v>127</v>
      </c>
      <c r="R493" s="1">
        <v>-6</v>
      </c>
      <c r="S493" s="1" t="s">
        <v>75</v>
      </c>
      <c r="T493" s="1">
        <v>81</v>
      </c>
      <c r="U493" s="1">
        <v>53</v>
      </c>
      <c r="V493" s="1">
        <v>10</v>
      </c>
      <c r="W493" s="1">
        <v>21</v>
      </c>
      <c r="X493" s="1">
        <v>245</v>
      </c>
      <c r="Y493" s="5">
        <f>STREAMS_STATS[[#This Row],[Duration]]/60</f>
        <v>4.083333333333333</v>
      </c>
      <c r="Z493" s="1">
        <v>8</v>
      </c>
      <c r="AA493" s="1">
        <v>6</v>
      </c>
      <c r="AB493" s="1">
        <v>67</v>
      </c>
    </row>
    <row r="494" spans="1:28">
      <c r="A494" t="s">
        <v>757</v>
      </c>
      <c r="B494" s="1" t="s">
        <v>99</v>
      </c>
      <c r="C494" s="1" t="s">
        <v>100</v>
      </c>
      <c r="D494" s="1">
        <v>2017</v>
      </c>
      <c r="E494" s="3">
        <v>933815613</v>
      </c>
      <c r="F494" s="3" t="str" cm="1">
        <f t="array" ref="F49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94" s="1">
        <v>8448</v>
      </c>
      <c r="H494" s="1">
        <v>87</v>
      </c>
      <c r="I494" s="1">
        <v>10</v>
      </c>
      <c r="J494" s="1">
        <v>9724</v>
      </c>
      <c r="K494" s="1">
        <v>10</v>
      </c>
      <c r="L494" s="1">
        <v>267</v>
      </c>
      <c r="M494" s="1">
        <v>12</v>
      </c>
      <c r="N494" s="1">
        <v>27309</v>
      </c>
      <c r="O494" s="1">
        <v>44</v>
      </c>
      <c r="P494" s="2">
        <f>SUM(STREAMS_STATS[[#This Row],[In Spotify Playlists]],STREAMS_STATS[[#This Row],[In Apple Playlists]],STREAMS_STATS[[#This Row],[In Deezer Playlists]],STREAMS_STATS[[#This Row],[In YouTube Playlists]])</f>
        <v>45748</v>
      </c>
      <c r="Q494" s="1">
        <v>192</v>
      </c>
      <c r="R494" s="1">
        <v>-6</v>
      </c>
      <c r="S494" s="1" t="s">
        <v>75</v>
      </c>
      <c r="T494" s="1">
        <v>73</v>
      </c>
      <c r="U494" s="1">
        <v>67</v>
      </c>
      <c r="V494" s="1">
        <v>6</v>
      </c>
      <c r="W494" s="1">
        <v>73</v>
      </c>
      <c r="X494" s="1">
        <v>210</v>
      </c>
      <c r="Y494" s="5">
        <f>STREAMS_STATS[[#This Row],[Duration]]/60</f>
        <v>3.5</v>
      </c>
      <c r="Z494" s="1">
        <v>1</v>
      </c>
      <c r="AA494" s="1">
        <v>27</v>
      </c>
      <c r="AB494" s="1">
        <v>76</v>
      </c>
    </row>
    <row r="495" spans="1:28">
      <c r="A495" t="s">
        <v>758</v>
      </c>
      <c r="B495" s="1" t="s">
        <v>140</v>
      </c>
      <c r="C495" s="1" t="s">
        <v>67</v>
      </c>
      <c r="D495" s="1">
        <v>2015</v>
      </c>
      <c r="E495" s="3">
        <v>663832097</v>
      </c>
      <c r="F495" s="3" t="str" cm="1">
        <f t="array" ref="F49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95" s="1">
        <v>5403</v>
      </c>
      <c r="H495" s="1">
        <v>247</v>
      </c>
      <c r="I495" s="1">
        <v>3</v>
      </c>
      <c r="J495" s="1">
        <v>34342</v>
      </c>
      <c r="K495" s="1">
        <v>3</v>
      </c>
      <c r="L495" s="1">
        <v>18</v>
      </c>
      <c r="M495" s="1">
        <v>31</v>
      </c>
      <c r="N495" s="1">
        <v>15725</v>
      </c>
      <c r="O495" s="1">
        <v>139</v>
      </c>
      <c r="P495" s="2">
        <f>SUM(STREAMS_STATS[[#This Row],[In Spotify Playlists]],STREAMS_STATS[[#This Row],[In Apple Playlists]],STREAMS_STATS[[#This Row],[In Deezer Playlists]],STREAMS_STATS[[#This Row],[In YouTube Playlists]])</f>
        <v>55488</v>
      </c>
      <c r="Q495" s="1">
        <v>83</v>
      </c>
      <c r="R495" s="1">
        <v>-5</v>
      </c>
      <c r="S495" s="1" t="s">
        <v>75</v>
      </c>
      <c r="T495" s="1">
        <v>79</v>
      </c>
      <c r="U495" s="1">
        <v>62</v>
      </c>
      <c r="V495" s="1">
        <v>14</v>
      </c>
      <c r="W495" s="1">
        <v>62</v>
      </c>
      <c r="X495" s="1">
        <v>227</v>
      </c>
      <c r="Y495" s="5">
        <f>STREAMS_STATS[[#This Row],[Duration]]/60</f>
        <v>3.7833333333333332</v>
      </c>
      <c r="Z495" s="1">
        <v>5</v>
      </c>
      <c r="AA495" s="1">
        <v>4</v>
      </c>
      <c r="AB495" s="1">
        <v>72</v>
      </c>
    </row>
    <row r="496" spans="1:28">
      <c r="A496" t="s">
        <v>759</v>
      </c>
      <c r="B496" s="1" t="s">
        <v>307</v>
      </c>
      <c r="C496" s="1" t="s">
        <v>23</v>
      </c>
      <c r="D496" s="1">
        <v>2016</v>
      </c>
      <c r="E496" s="3">
        <v>2011464183</v>
      </c>
      <c r="F496" s="3" t="str" cm="1">
        <f t="array" ref="F496">_xlfn.IFS(STREAMS_STATS[[#This Row],[Streams]] &gt;= 1000000000, "1B+", STREAMS_STATS[[#This Row],[Streams]] &gt;= 500000000, "500M–1B", STREAMS_STATS[[#This Row],[Streams]] &gt;= 250000000, "250M–500M", TRUE, "Under 250M")</f>
        <v>1B+</v>
      </c>
      <c r="G496" s="1">
        <v>27705</v>
      </c>
      <c r="H496" s="1">
        <v>7</v>
      </c>
      <c r="I496" s="1">
        <v>70</v>
      </c>
      <c r="J496" s="1">
        <v>33174</v>
      </c>
      <c r="K496" s="1">
        <v>70</v>
      </c>
      <c r="L496" s="2">
        <v>1378</v>
      </c>
      <c r="M496" s="1">
        <v>9</v>
      </c>
      <c r="N496" s="1">
        <v>20104</v>
      </c>
      <c r="O496" s="1">
        <v>126</v>
      </c>
      <c r="P496" s="2">
        <f>SUM(STREAMS_STATS[[#This Row],[In Spotify Playlists]],STREAMS_STATS[[#This Row],[In Apple Playlists]],STREAMS_STATS[[#This Row],[In Deezer Playlists]],STREAMS_STATS[[#This Row],[In YouTube Playlists]])</f>
        <v>82361</v>
      </c>
      <c r="Q496" s="1">
        <v>113</v>
      </c>
      <c r="R496" s="1">
        <v>-7</v>
      </c>
      <c r="S496" s="1" t="s">
        <v>68</v>
      </c>
      <c r="T496" s="1">
        <v>56</v>
      </c>
      <c r="U496" s="1">
        <v>58</v>
      </c>
      <c r="V496" s="1">
        <v>14</v>
      </c>
      <c r="W496" s="1">
        <v>14</v>
      </c>
      <c r="X496" s="1">
        <v>242</v>
      </c>
      <c r="Y496" s="5">
        <f>STREAMS_STATS[[#This Row],[Duration]]/60</f>
        <v>4.0333333333333332</v>
      </c>
      <c r="Z496" s="1">
        <v>7</v>
      </c>
      <c r="AA496" s="1">
        <v>5</v>
      </c>
      <c r="AB496" s="1">
        <v>84</v>
      </c>
    </row>
    <row r="497" spans="1:28">
      <c r="A497" t="s">
        <v>760</v>
      </c>
      <c r="B497" s="1" t="s">
        <v>162</v>
      </c>
      <c r="C497" s="1" t="s">
        <v>67</v>
      </c>
      <c r="D497" s="1">
        <v>2012</v>
      </c>
      <c r="E497" s="3">
        <v>448843705</v>
      </c>
      <c r="F497" s="3" t="str" cm="1">
        <f t="array" ref="F49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97" s="1">
        <v>3506</v>
      </c>
      <c r="H497" s="1">
        <v>104</v>
      </c>
      <c r="I497" s="1">
        <v>52</v>
      </c>
      <c r="J497" s="1">
        <v>33855</v>
      </c>
      <c r="K497" s="1">
        <v>59</v>
      </c>
      <c r="L497" s="1">
        <v>185</v>
      </c>
      <c r="M497" s="1">
        <v>163</v>
      </c>
      <c r="N497" s="1">
        <v>23712</v>
      </c>
      <c r="O497" s="1">
        <v>81</v>
      </c>
      <c r="P497" s="2">
        <f>SUM(STREAMS_STATS[[#This Row],[In Spotify Playlists]],STREAMS_STATS[[#This Row],[In Apple Playlists]],STREAMS_STATS[[#This Row],[In Deezer Playlists]],STREAMS_STATS[[#This Row],[In YouTube Playlists]])</f>
        <v>61258</v>
      </c>
      <c r="Q497" s="1">
        <v>134</v>
      </c>
      <c r="R497" s="1">
        <v>-4</v>
      </c>
      <c r="S497" s="1" t="s">
        <v>75</v>
      </c>
      <c r="T497" s="1">
        <v>80</v>
      </c>
      <c r="U497" s="1">
        <v>69</v>
      </c>
      <c r="V497" s="1">
        <v>16</v>
      </c>
      <c r="W497" s="1">
        <v>88</v>
      </c>
      <c r="X497" s="1">
        <v>227</v>
      </c>
      <c r="Y497" s="5">
        <f>STREAMS_STATS[[#This Row],[Duration]]/60</f>
        <v>3.7833333333333332</v>
      </c>
      <c r="Z497" s="1">
        <v>0</v>
      </c>
      <c r="AA497" s="1">
        <v>4</v>
      </c>
      <c r="AB497" s="1">
        <v>67</v>
      </c>
    </row>
    <row r="498" spans="1:28">
      <c r="A498" t="s">
        <v>761</v>
      </c>
      <c r="B498" s="1" t="s">
        <v>437</v>
      </c>
      <c r="C498" s="1" t="s">
        <v>67</v>
      </c>
      <c r="D498" s="1">
        <v>2010</v>
      </c>
      <c r="E498" s="3">
        <v>573633020</v>
      </c>
      <c r="F498" s="3" t="str" cm="1">
        <f t="array" ref="F498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498" s="1">
        <v>4637</v>
      </c>
      <c r="H498" s="1">
        <v>161</v>
      </c>
      <c r="I498" s="1">
        <v>72</v>
      </c>
      <c r="J498" s="1">
        <v>8926</v>
      </c>
      <c r="K498" s="1">
        <v>68</v>
      </c>
      <c r="L498" s="1">
        <v>275</v>
      </c>
      <c r="M498" s="1">
        <v>145</v>
      </c>
      <c r="N498" s="1">
        <v>3314</v>
      </c>
      <c r="O498" s="1">
        <v>191</v>
      </c>
      <c r="P498" s="2">
        <f>SUM(STREAMS_STATS[[#This Row],[In Spotify Playlists]],STREAMS_STATS[[#This Row],[In Apple Playlists]],STREAMS_STATS[[#This Row],[In Deezer Playlists]],STREAMS_STATS[[#This Row],[In YouTube Playlists]])</f>
        <v>17152</v>
      </c>
      <c r="Q498" s="1">
        <v>128</v>
      </c>
      <c r="R498" s="1">
        <v>-8</v>
      </c>
      <c r="S498" s="1" t="s">
        <v>75</v>
      </c>
      <c r="T498" s="1">
        <v>81</v>
      </c>
      <c r="U498" s="1">
        <v>82</v>
      </c>
      <c r="V498" s="1">
        <v>60</v>
      </c>
      <c r="W498" s="1">
        <v>44</v>
      </c>
      <c r="X498" s="1">
        <v>308</v>
      </c>
      <c r="Y498" s="5">
        <f>STREAMS_STATS[[#This Row],[Duration]]/60</f>
        <v>5.1333333333333337</v>
      </c>
      <c r="Z498" s="1">
        <v>7</v>
      </c>
      <c r="AA498" s="1">
        <v>7</v>
      </c>
      <c r="AB498" s="1">
        <v>70</v>
      </c>
    </row>
    <row r="499" spans="1:28">
      <c r="A499" t="s">
        <v>762</v>
      </c>
      <c r="B499" s="1" t="s">
        <v>40</v>
      </c>
      <c r="C499" s="1" t="s">
        <v>67</v>
      </c>
      <c r="D499" s="1">
        <v>2013</v>
      </c>
      <c r="E499" s="3">
        <v>477033549</v>
      </c>
      <c r="F499" s="3" t="str" cm="1">
        <f t="array" ref="F49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499" s="1">
        <v>3766</v>
      </c>
      <c r="H499" s="1">
        <v>124</v>
      </c>
      <c r="I499" s="1">
        <v>36</v>
      </c>
      <c r="J499" s="1">
        <v>19974</v>
      </c>
      <c r="K499" s="1">
        <v>36</v>
      </c>
      <c r="L499" s="1">
        <v>1</v>
      </c>
      <c r="M499" s="1">
        <v>42</v>
      </c>
      <c r="N499" s="1">
        <v>3558</v>
      </c>
      <c r="O499" s="1">
        <v>180</v>
      </c>
      <c r="P499" s="2">
        <f>SUM(STREAMS_STATS[[#This Row],[In Spotify Playlists]],STREAMS_STATS[[#This Row],[In Apple Playlists]],STREAMS_STATS[[#This Row],[In Deezer Playlists]],STREAMS_STATS[[#This Row],[In YouTube Playlists]])</f>
        <v>27299</v>
      </c>
      <c r="Q499" s="1">
        <v>82</v>
      </c>
      <c r="R499" s="1">
        <v>-3</v>
      </c>
      <c r="S499" s="1" t="s">
        <v>75</v>
      </c>
      <c r="T499" s="1">
        <v>88</v>
      </c>
      <c r="U499" s="1">
        <v>65</v>
      </c>
      <c r="V499" s="1">
        <v>8</v>
      </c>
      <c r="W499" s="1">
        <v>86</v>
      </c>
      <c r="X499" s="1">
        <v>227</v>
      </c>
      <c r="Y499" s="5">
        <f>STREAMS_STATS[[#This Row],[Duration]]/60</f>
        <v>3.7833333333333332</v>
      </c>
      <c r="Z499" s="1">
        <v>29</v>
      </c>
      <c r="AA499" s="1">
        <v>11</v>
      </c>
      <c r="AB499" s="1">
        <v>68</v>
      </c>
    </row>
    <row r="500" spans="1:28">
      <c r="A500" t="s">
        <v>763</v>
      </c>
      <c r="B500" s="1" t="s">
        <v>442</v>
      </c>
      <c r="C500" s="1" t="s">
        <v>105</v>
      </c>
      <c r="D500" s="1">
        <v>2017</v>
      </c>
      <c r="E500" s="3">
        <v>929964809</v>
      </c>
      <c r="F500" s="3" t="str" cm="1">
        <f t="array" ref="F500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00" s="1">
        <v>8431</v>
      </c>
      <c r="H500" s="1">
        <v>82</v>
      </c>
      <c r="I500" s="1">
        <v>88</v>
      </c>
      <c r="J500" s="1">
        <v>1585</v>
      </c>
      <c r="K500" s="1">
        <v>88</v>
      </c>
      <c r="L500" s="1">
        <v>62</v>
      </c>
      <c r="M500" s="1">
        <v>12</v>
      </c>
      <c r="N500" s="1">
        <v>39091</v>
      </c>
      <c r="O500" s="1">
        <v>339</v>
      </c>
      <c r="P500" s="2">
        <f>SUM(STREAMS_STATS[[#This Row],[In Spotify Playlists]],STREAMS_STATS[[#This Row],[In Apple Playlists]],STREAMS_STATS[[#This Row],[In Deezer Playlists]],STREAMS_STATS[[#This Row],[In YouTube Playlists]])</f>
        <v>49169</v>
      </c>
      <c r="Q500" s="1">
        <v>106</v>
      </c>
      <c r="R500" s="1">
        <v>-8</v>
      </c>
      <c r="S500" s="1" t="s">
        <v>68</v>
      </c>
      <c r="T500" s="1">
        <v>64</v>
      </c>
      <c r="U500" s="1">
        <v>61</v>
      </c>
      <c r="V500" s="1">
        <v>12</v>
      </c>
      <c r="W500" s="1">
        <v>13</v>
      </c>
      <c r="X500" s="1">
        <v>222</v>
      </c>
      <c r="Y500" s="5">
        <f>STREAMS_STATS[[#This Row],[Duration]]/60</f>
        <v>3.7</v>
      </c>
      <c r="Z500" s="1">
        <v>12</v>
      </c>
      <c r="AA500" s="1">
        <v>6</v>
      </c>
      <c r="AB500" s="1">
        <v>76</v>
      </c>
    </row>
    <row r="501" spans="1:28">
      <c r="A501" t="s">
        <v>764</v>
      </c>
      <c r="B501" s="1" t="s">
        <v>33</v>
      </c>
      <c r="C501" s="1" t="s">
        <v>134</v>
      </c>
      <c r="D501" s="1">
        <v>2018</v>
      </c>
      <c r="E501" s="3">
        <v>1953533826</v>
      </c>
      <c r="F501" s="3" t="str" cm="1">
        <f t="array" ref="F501">_xlfn.IFS(STREAMS_STATS[[#This Row],[Streams]] &gt;= 1000000000, "1B+", STREAMS_STATS[[#This Row],[Streams]] &gt;= 500000000, "500M–1B", STREAMS_STATS[[#This Row],[Streams]] &gt;= 250000000, "250M–500M", TRUE, "Under 250M")</f>
        <v>1B+</v>
      </c>
      <c r="G501" s="1">
        <v>26792</v>
      </c>
      <c r="H501" s="1">
        <v>10</v>
      </c>
      <c r="I501" s="1">
        <v>54</v>
      </c>
      <c r="J501" s="1">
        <v>24163</v>
      </c>
      <c r="K501" s="1">
        <v>54</v>
      </c>
      <c r="L501" s="1">
        <v>710</v>
      </c>
      <c r="M501" s="1">
        <v>14</v>
      </c>
      <c r="N501" s="1">
        <v>26063</v>
      </c>
      <c r="O501" s="1">
        <v>4</v>
      </c>
      <c r="P501" s="2">
        <f>SUM(STREAMS_STATS[[#This Row],[In Spotify Playlists]],STREAMS_STATS[[#This Row],[In Apple Playlists]],STREAMS_STATS[[#This Row],[In Deezer Playlists]],STREAMS_STATS[[#This Row],[In YouTube Playlists]])</f>
        <v>77728</v>
      </c>
      <c r="Q501" s="1">
        <v>122</v>
      </c>
      <c r="R501" s="1">
        <v>-4</v>
      </c>
      <c r="S501" s="1" t="s">
        <v>75</v>
      </c>
      <c r="T501" s="1">
        <v>81</v>
      </c>
      <c r="U501" s="1">
        <v>87</v>
      </c>
      <c r="V501" s="1">
        <v>8</v>
      </c>
      <c r="W501" s="1">
        <v>97</v>
      </c>
      <c r="X501" s="1">
        <v>199</v>
      </c>
      <c r="Y501" s="5">
        <f>STREAMS_STATS[[#This Row],[Duration]]/60</f>
        <v>3.3166666666666669</v>
      </c>
      <c r="Z501" s="1">
        <v>38</v>
      </c>
      <c r="AA501" s="1">
        <v>6</v>
      </c>
      <c r="AB501" s="1">
        <v>84</v>
      </c>
    </row>
    <row r="502" spans="1:28">
      <c r="A502" t="s">
        <v>765</v>
      </c>
      <c r="B502" s="1" t="s">
        <v>472</v>
      </c>
      <c r="C502" s="1" t="s">
        <v>67</v>
      </c>
      <c r="D502" s="1">
        <v>2018</v>
      </c>
      <c r="E502" s="3">
        <v>1410088830</v>
      </c>
      <c r="F502" s="3" t="str" cm="1">
        <f t="array" ref="F502">_xlfn.IFS(STREAMS_STATS[[#This Row],[Streams]] &gt;= 1000000000, "1B+", STREAMS_STATS[[#This Row],[Streams]] &gt;= 500000000, "500M–1B", STREAMS_STATS[[#This Row],[Streams]] &gt;= 250000000, "250M–500M", TRUE, "Under 250M")</f>
        <v>1B+</v>
      </c>
      <c r="G502" s="1">
        <v>15563</v>
      </c>
      <c r="H502" s="1">
        <v>45</v>
      </c>
      <c r="I502" s="1">
        <v>64</v>
      </c>
      <c r="J502" s="1">
        <v>18663</v>
      </c>
      <c r="K502" s="1">
        <v>64</v>
      </c>
      <c r="L502" s="1">
        <v>964</v>
      </c>
      <c r="M502" s="1">
        <v>9</v>
      </c>
      <c r="N502" s="1">
        <v>14383</v>
      </c>
      <c r="O502" s="1">
        <v>372</v>
      </c>
      <c r="P502" s="2">
        <f>SUM(STREAMS_STATS[[#This Row],[In Spotify Playlists]],STREAMS_STATS[[#This Row],[In Apple Playlists]],STREAMS_STATS[[#This Row],[In Deezer Playlists]],STREAMS_STATS[[#This Row],[In YouTube Playlists]])</f>
        <v>49573</v>
      </c>
      <c r="Q502" s="1">
        <v>92</v>
      </c>
      <c r="R502" s="1">
        <v>-4</v>
      </c>
      <c r="S502" s="1" t="s">
        <v>75</v>
      </c>
      <c r="T502" s="1">
        <v>81</v>
      </c>
      <c r="U502" s="1">
        <v>65</v>
      </c>
      <c r="V502" s="1">
        <v>17</v>
      </c>
      <c r="W502" s="1">
        <v>55</v>
      </c>
      <c r="X502" s="1">
        <v>211</v>
      </c>
      <c r="Y502" s="5">
        <f>STREAMS_STATS[[#This Row],[Duration]]/60</f>
        <v>3.5166666666666666</v>
      </c>
      <c r="Z502" s="1">
        <v>19</v>
      </c>
      <c r="AA502" s="1">
        <v>5</v>
      </c>
      <c r="AB502" s="1">
        <v>80</v>
      </c>
    </row>
    <row r="503" spans="1:28">
      <c r="A503" t="s">
        <v>766</v>
      </c>
      <c r="B503" s="1" t="s">
        <v>31</v>
      </c>
      <c r="C503" s="1" t="s">
        <v>25</v>
      </c>
      <c r="D503" s="1">
        <v>2015</v>
      </c>
      <c r="E503" s="3">
        <v>2132335812</v>
      </c>
      <c r="F503" s="3" t="str" cm="1">
        <f t="array" ref="F503">_xlfn.IFS(STREAMS_STATS[[#This Row],[Streams]] &gt;= 1000000000, "1B+", STREAMS_STATS[[#This Row],[Streams]] &gt;= 500000000, "500M–1B", STREAMS_STATS[[#This Row],[Streams]] &gt;= 250000000, "250M–500M", TRUE, "Under 250M")</f>
        <v>1B+</v>
      </c>
      <c r="G503" s="1">
        <v>29499</v>
      </c>
      <c r="H503" s="1">
        <v>4</v>
      </c>
      <c r="I503" s="1">
        <v>5</v>
      </c>
      <c r="J503" s="1">
        <v>18079</v>
      </c>
      <c r="K503" s="1">
        <v>5</v>
      </c>
      <c r="L503" s="1">
        <v>8</v>
      </c>
      <c r="M503" s="1">
        <v>12</v>
      </c>
      <c r="N503" s="1">
        <v>11401</v>
      </c>
      <c r="O503" s="1">
        <v>283</v>
      </c>
      <c r="P503" s="2">
        <f>SUM(STREAMS_STATS[[#This Row],[In Spotify Playlists]],STREAMS_STATS[[#This Row],[In Apple Playlists]],STREAMS_STATS[[#This Row],[In Deezer Playlists]],STREAMS_STATS[[#This Row],[In YouTube Playlists]])</f>
        <v>58987</v>
      </c>
      <c r="Q503" s="1">
        <v>79</v>
      </c>
      <c r="R503" s="1">
        <v>-6</v>
      </c>
      <c r="S503" s="1" t="s">
        <v>68</v>
      </c>
      <c r="T503" s="1">
        <v>45</v>
      </c>
      <c r="U503" s="1">
        <v>78</v>
      </c>
      <c r="V503" s="1">
        <v>18</v>
      </c>
      <c r="W503" s="1">
        <v>59</v>
      </c>
      <c r="X503" s="1">
        <v>282</v>
      </c>
      <c r="Y503" s="5">
        <f>STREAMS_STATS[[#This Row],[Duration]]/60</f>
        <v>4.7</v>
      </c>
      <c r="Z503" s="1">
        <v>47</v>
      </c>
      <c r="AA503" s="1">
        <v>3</v>
      </c>
      <c r="AB503" s="1">
        <v>84</v>
      </c>
    </row>
    <row r="504" spans="1:28">
      <c r="A504" t="s">
        <v>767</v>
      </c>
      <c r="B504" s="1" t="s">
        <v>162</v>
      </c>
      <c r="C504" s="1" t="s">
        <v>67</v>
      </c>
      <c r="D504" s="1">
        <v>2014</v>
      </c>
      <c r="E504" s="3">
        <v>412795151</v>
      </c>
      <c r="F504" s="3" t="str" cm="1">
        <f t="array" ref="F50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04" s="1">
        <v>3257</v>
      </c>
      <c r="H504" s="1">
        <v>413</v>
      </c>
      <c r="I504" s="1">
        <v>7</v>
      </c>
      <c r="J504" s="1">
        <v>30735</v>
      </c>
      <c r="K504" s="1">
        <v>7</v>
      </c>
      <c r="L504" s="1">
        <v>11</v>
      </c>
      <c r="M504" s="1">
        <v>34</v>
      </c>
      <c r="N504" s="1">
        <v>12654</v>
      </c>
      <c r="O504" s="1">
        <v>90</v>
      </c>
      <c r="P504" s="2">
        <f>SUM(STREAMS_STATS[[#This Row],[In Spotify Playlists]],STREAMS_STATS[[#This Row],[In Apple Playlists]],STREAMS_STATS[[#This Row],[In Deezer Playlists]],STREAMS_STATS[[#This Row],[In YouTube Playlists]])</f>
        <v>46657</v>
      </c>
      <c r="Q504" s="1">
        <v>96</v>
      </c>
      <c r="R504" s="1">
        <v>-6</v>
      </c>
      <c r="S504" s="1" t="s">
        <v>75</v>
      </c>
      <c r="T504" s="1">
        <v>64</v>
      </c>
      <c r="U504" s="1">
        <v>69</v>
      </c>
      <c r="V504" s="1">
        <v>15</v>
      </c>
      <c r="W504" s="1">
        <v>80</v>
      </c>
      <c r="X504" s="1">
        <v>204</v>
      </c>
      <c r="Y504" s="5">
        <f>STREAMS_STATS[[#This Row],[Duration]]/60</f>
        <v>3.4</v>
      </c>
      <c r="Z504" s="1">
        <v>2</v>
      </c>
      <c r="AA504" s="1">
        <v>5</v>
      </c>
      <c r="AB504" s="1">
        <v>66</v>
      </c>
    </row>
    <row r="505" spans="1:28">
      <c r="A505" t="s">
        <v>768</v>
      </c>
      <c r="B505" s="1" t="s">
        <v>34</v>
      </c>
      <c r="C505" s="1" t="s">
        <v>67</v>
      </c>
      <c r="D505" s="1">
        <v>2016</v>
      </c>
      <c r="E505" s="3">
        <v>1449799467</v>
      </c>
      <c r="F505" s="3" t="str" cm="1">
        <f t="array" ref="F505">_xlfn.IFS(STREAMS_STATS[[#This Row],[Streams]] &gt;= 1000000000, "1B+", STREAMS_STATS[[#This Row],[Streams]] &gt;= 500000000, "500M–1B", STREAMS_STATS[[#This Row],[Streams]] &gt;= 250000000, "250M–500M", TRUE, "Under 250M")</f>
        <v>1B+</v>
      </c>
      <c r="G505" s="1">
        <v>16636</v>
      </c>
      <c r="H505" s="1">
        <v>37</v>
      </c>
      <c r="I505" s="1">
        <v>1</v>
      </c>
      <c r="J505" s="1">
        <v>11794</v>
      </c>
      <c r="K505" s="1">
        <v>1</v>
      </c>
      <c r="L505" s="1">
        <v>36</v>
      </c>
      <c r="M505" s="1">
        <v>1</v>
      </c>
      <c r="N505" s="1">
        <v>3379</v>
      </c>
      <c r="O505" s="1">
        <v>251</v>
      </c>
      <c r="P505" s="2">
        <f>SUM(STREAMS_STATS[[#This Row],[In Spotify Playlists]],STREAMS_STATS[[#This Row],[In Apple Playlists]],STREAMS_STATS[[#This Row],[In Deezer Playlists]],STREAMS_STATS[[#This Row],[In YouTube Playlists]])</f>
        <v>31845</v>
      </c>
      <c r="Q505" s="1">
        <v>124</v>
      </c>
      <c r="R505" s="1">
        <v>-3</v>
      </c>
      <c r="S505" s="1" t="s">
        <v>68</v>
      </c>
      <c r="T505" s="1">
        <v>93</v>
      </c>
      <c r="U505" s="1">
        <v>63</v>
      </c>
      <c r="V505" s="1">
        <v>15</v>
      </c>
      <c r="W505" s="1">
        <v>47</v>
      </c>
      <c r="X505" s="1">
        <v>222</v>
      </c>
      <c r="Y505" s="5">
        <f>STREAMS_STATS[[#This Row],[Duration]]/60</f>
        <v>3.7</v>
      </c>
      <c r="Z505" s="1">
        <v>20</v>
      </c>
      <c r="AA505" s="1">
        <v>3</v>
      </c>
      <c r="AB505" s="1">
        <v>80</v>
      </c>
    </row>
    <row r="506" spans="1:28">
      <c r="A506" t="s">
        <v>769</v>
      </c>
      <c r="B506" s="1" t="s">
        <v>692</v>
      </c>
      <c r="C506" s="1" t="s">
        <v>67</v>
      </c>
      <c r="D506" s="1">
        <v>2018</v>
      </c>
      <c r="E506" s="3">
        <v>354614964</v>
      </c>
      <c r="F506" s="3" t="str" cm="1">
        <f t="array" ref="F50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06" s="1">
        <v>2780</v>
      </c>
      <c r="H506" s="1">
        <v>421</v>
      </c>
      <c r="I506" s="1">
        <v>12</v>
      </c>
      <c r="J506" s="1">
        <v>884</v>
      </c>
      <c r="K506" s="1">
        <v>12</v>
      </c>
      <c r="L506" s="1">
        <v>78</v>
      </c>
      <c r="M506" s="1">
        <v>12</v>
      </c>
      <c r="N506" s="1">
        <v>20883</v>
      </c>
      <c r="O506" s="1">
        <v>366</v>
      </c>
      <c r="P506" s="2">
        <f>SUM(STREAMS_STATS[[#This Row],[In Spotify Playlists]],STREAMS_STATS[[#This Row],[In Apple Playlists]],STREAMS_STATS[[#This Row],[In Deezer Playlists]],STREAMS_STATS[[#This Row],[In YouTube Playlists]])</f>
        <v>24625</v>
      </c>
      <c r="Q506" s="1">
        <v>112</v>
      </c>
      <c r="R506" s="1">
        <v>-8</v>
      </c>
      <c r="S506" s="1" t="s">
        <v>68</v>
      </c>
      <c r="T506" s="1">
        <v>41</v>
      </c>
      <c r="U506" s="1">
        <v>68</v>
      </c>
      <c r="V506" s="1">
        <v>12</v>
      </c>
      <c r="W506" s="1">
        <v>20</v>
      </c>
      <c r="X506" s="1">
        <v>233</v>
      </c>
      <c r="Y506" s="5">
        <f>STREAMS_STATS[[#This Row],[Duration]]/60</f>
        <v>3.8833333333333333</v>
      </c>
      <c r="Z506" s="1">
        <v>70</v>
      </c>
      <c r="AA506" s="1">
        <v>3</v>
      </c>
      <c r="AB506" s="1">
        <v>64</v>
      </c>
    </row>
    <row r="507" spans="1:28">
      <c r="A507" t="s">
        <v>770</v>
      </c>
      <c r="B507" s="1" t="s">
        <v>214</v>
      </c>
      <c r="C507" s="1" t="s">
        <v>67</v>
      </c>
      <c r="D507" s="1">
        <v>2013</v>
      </c>
      <c r="E507" s="3">
        <v>510876816</v>
      </c>
      <c r="F507" s="3" t="str" cm="1">
        <f t="array" ref="F50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07" s="1">
        <v>4169</v>
      </c>
      <c r="H507" s="1">
        <v>222</v>
      </c>
      <c r="I507" s="1">
        <v>21</v>
      </c>
      <c r="J507" s="1">
        <v>27649</v>
      </c>
      <c r="K507" s="1">
        <v>21</v>
      </c>
      <c r="L507" s="1">
        <v>7</v>
      </c>
      <c r="M507" s="1">
        <v>28</v>
      </c>
      <c r="N507" s="1">
        <v>31354</v>
      </c>
      <c r="O507" s="1">
        <v>374</v>
      </c>
      <c r="P507" s="2">
        <f>SUM(STREAMS_STATS[[#This Row],[In Spotify Playlists]],STREAMS_STATS[[#This Row],[In Apple Playlists]],STREAMS_STATS[[#This Row],[In Deezer Playlists]],STREAMS_STATS[[#This Row],[In YouTube Playlists]])</f>
        <v>63179</v>
      </c>
      <c r="Q507" s="1">
        <v>95</v>
      </c>
      <c r="R507" s="1">
        <v>-7</v>
      </c>
      <c r="S507" s="1" t="s">
        <v>68</v>
      </c>
      <c r="T507" s="1">
        <v>53</v>
      </c>
      <c r="U507" s="1">
        <v>78</v>
      </c>
      <c r="V507" s="1">
        <v>5</v>
      </c>
      <c r="W507" s="1">
        <v>66</v>
      </c>
      <c r="X507" s="1">
        <v>236</v>
      </c>
      <c r="Y507" s="5">
        <f>STREAMS_STATS[[#This Row],[Duration]]/60</f>
        <v>3.9333333333333331</v>
      </c>
      <c r="Z507" s="1">
        <v>6</v>
      </c>
      <c r="AA507" s="1">
        <v>29</v>
      </c>
      <c r="AB507" s="1">
        <v>69</v>
      </c>
    </row>
    <row r="508" spans="1:28">
      <c r="A508" t="s">
        <v>771</v>
      </c>
      <c r="B508" s="1" t="s">
        <v>164</v>
      </c>
      <c r="C508" s="1" t="s">
        <v>67</v>
      </c>
      <c r="D508" s="1">
        <v>2010</v>
      </c>
      <c r="E508" s="3">
        <v>1553497987</v>
      </c>
      <c r="F508" s="3" t="str" cm="1">
        <f t="array" ref="F508">_xlfn.IFS(STREAMS_STATS[[#This Row],[Streams]] &gt;= 1000000000, "1B+", STREAMS_STATS[[#This Row],[Streams]] &gt;= 500000000, "500M–1B", STREAMS_STATS[[#This Row],[Streams]] &gt;= 250000000, "250M–500M", TRUE, "Under 250M")</f>
        <v>1B+</v>
      </c>
      <c r="G508" s="1">
        <v>17836</v>
      </c>
      <c r="H508" s="1">
        <v>50</v>
      </c>
      <c r="I508" s="1">
        <v>214</v>
      </c>
      <c r="J508" s="1">
        <v>15501</v>
      </c>
      <c r="K508" s="1">
        <v>87</v>
      </c>
      <c r="L508" s="1">
        <v>4085</v>
      </c>
      <c r="M508" s="1">
        <v>68</v>
      </c>
      <c r="N508" s="1">
        <v>28242</v>
      </c>
      <c r="O508" s="1">
        <v>122</v>
      </c>
      <c r="P508" s="2">
        <f>SUM(STREAMS_STATS[[#This Row],[In Spotify Playlists]],STREAMS_STATS[[#This Row],[In Apple Playlists]],STREAMS_STATS[[#This Row],[In Deezer Playlists]],STREAMS_STATS[[#This Row],[In YouTube Playlists]])</f>
        <v>65664</v>
      </c>
      <c r="Q508" s="1">
        <v>120</v>
      </c>
      <c r="R508" s="1">
        <v>-3</v>
      </c>
      <c r="S508" s="1" t="s">
        <v>75</v>
      </c>
      <c r="T508" s="1">
        <v>84</v>
      </c>
      <c r="U508" s="1">
        <v>76</v>
      </c>
      <c r="V508" s="1">
        <v>29</v>
      </c>
      <c r="W508" s="1">
        <v>71</v>
      </c>
      <c r="X508" s="1">
        <v>200</v>
      </c>
      <c r="Y508" s="5">
        <f>STREAMS_STATS[[#This Row],[Duration]]/60</f>
        <v>3.3333333333333335</v>
      </c>
      <c r="Z508" s="1">
        <v>10</v>
      </c>
      <c r="AA508" s="1">
        <v>14</v>
      </c>
      <c r="AB508" s="1">
        <v>80</v>
      </c>
    </row>
    <row r="509" spans="1:28">
      <c r="A509" t="s">
        <v>772</v>
      </c>
      <c r="B509" s="1" t="s">
        <v>66</v>
      </c>
      <c r="C509" s="1" t="s">
        <v>67</v>
      </c>
      <c r="D509" s="1">
        <v>2011</v>
      </c>
      <c r="E509" s="3">
        <v>393230256</v>
      </c>
      <c r="F509" s="3" t="str" cm="1">
        <f t="array" ref="F509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09" s="1">
        <v>3028</v>
      </c>
      <c r="H509" s="1">
        <v>440</v>
      </c>
      <c r="I509" s="1">
        <v>305</v>
      </c>
      <c r="J509" s="1">
        <v>30438</v>
      </c>
      <c r="K509" s="1">
        <v>59</v>
      </c>
      <c r="L509" s="1">
        <v>2254</v>
      </c>
      <c r="M509" s="1">
        <v>64</v>
      </c>
      <c r="N509" s="1">
        <v>7970</v>
      </c>
      <c r="O509" s="1">
        <v>360</v>
      </c>
      <c r="P509" s="2">
        <f>SUM(STREAMS_STATS[[#This Row],[In Spotify Playlists]],STREAMS_STATS[[#This Row],[In Apple Playlists]],STREAMS_STATS[[#This Row],[In Deezer Playlists]],STREAMS_STATS[[#This Row],[In YouTube Playlists]])</f>
        <v>43690</v>
      </c>
      <c r="Q509" s="1">
        <v>132</v>
      </c>
      <c r="R509" s="1">
        <v>-6</v>
      </c>
      <c r="S509" s="1" t="s">
        <v>75</v>
      </c>
      <c r="T509" s="1">
        <v>71</v>
      </c>
      <c r="U509" s="1">
        <v>69</v>
      </c>
      <c r="V509" s="1">
        <v>20</v>
      </c>
      <c r="W509" s="1">
        <v>45</v>
      </c>
      <c r="X509" s="1">
        <v>238</v>
      </c>
      <c r="Y509" s="5">
        <f>STREAMS_STATS[[#This Row],[Duration]]/60</f>
        <v>3.9666666666666668</v>
      </c>
      <c r="Z509" s="1">
        <v>2</v>
      </c>
      <c r="AA509" s="1">
        <v>7</v>
      </c>
      <c r="AB509" s="1">
        <v>65</v>
      </c>
    </row>
    <row r="510" spans="1:28">
      <c r="A510" t="s">
        <v>773</v>
      </c>
      <c r="B510" s="1" t="s">
        <v>226</v>
      </c>
      <c r="C510" s="1" t="s">
        <v>67</v>
      </c>
      <c r="D510" s="1">
        <v>2015</v>
      </c>
      <c r="E510" s="3">
        <v>231657891</v>
      </c>
      <c r="F510" s="3" t="str" cm="1">
        <f t="array" ref="F51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10" s="1">
        <v>1613</v>
      </c>
      <c r="H510" s="1">
        <v>235</v>
      </c>
      <c r="I510" s="1">
        <v>69</v>
      </c>
      <c r="J510" s="1">
        <v>1214</v>
      </c>
      <c r="K510" s="1">
        <v>3</v>
      </c>
      <c r="L510" s="1">
        <v>28</v>
      </c>
      <c r="M510" s="1">
        <v>13</v>
      </c>
      <c r="N510" s="1">
        <v>35960</v>
      </c>
      <c r="O510" s="1">
        <v>176</v>
      </c>
      <c r="P510" s="2">
        <f>SUM(STREAMS_STATS[[#This Row],[In Spotify Playlists]],STREAMS_STATS[[#This Row],[In Apple Playlists]],STREAMS_STATS[[#This Row],[In Deezer Playlists]],STREAMS_STATS[[#This Row],[In YouTube Playlists]])</f>
        <v>38815</v>
      </c>
      <c r="Q510" s="1">
        <v>124</v>
      </c>
      <c r="R510" s="1">
        <v>-6</v>
      </c>
      <c r="S510" s="1" t="s">
        <v>75</v>
      </c>
      <c r="T510" s="1">
        <v>80</v>
      </c>
      <c r="U510" s="1">
        <v>72</v>
      </c>
      <c r="V510" s="1">
        <v>69</v>
      </c>
      <c r="W510" s="1">
        <v>72</v>
      </c>
      <c r="X510" s="1">
        <v>229</v>
      </c>
      <c r="Y510" s="5">
        <f>STREAMS_STATS[[#This Row],[Duration]]/60</f>
        <v>3.8166666666666669</v>
      </c>
      <c r="Z510" s="1">
        <v>9</v>
      </c>
      <c r="AA510" s="1">
        <v>6</v>
      </c>
      <c r="AB510" s="1">
        <v>45</v>
      </c>
    </row>
    <row r="511" spans="1:28">
      <c r="A511" t="s">
        <v>774</v>
      </c>
      <c r="B511" s="1" t="s">
        <v>775</v>
      </c>
      <c r="C511" s="1" t="s">
        <v>776</v>
      </c>
      <c r="D511" s="1">
        <v>2017</v>
      </c>
      <c r="E511" s="3">
        <v>539595276</v>
      </c>
      <c r="F511" s="3" t="str" cm="1">
        <f t="array" ref="F51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11" s="1">
        <v>4375</v>
      </c>
      <c r="H511" s="1">
        <v>332</v>
      </c>
      <c r="I511" s="1">
        <v>28</v>
      </c>
      <c r="J511" s="1">
        <v>8170</v>
      </c>
      <c r="K511" s="1">
        <v>28</v>
      </c>
      <c r="L511" s="1">
        <v>43</v>
      </c>
      <c r="M511" s="1">
        <v>4</v>
      </c>
      <c r="N511" s="1">
        <v>21415</v>
      </c>
      <c r="O511" s="1">
        <v>26</v>
      </c>
      <c r="P511" s="2">
        <f>SUM(STREAMS_STATS[[#This Row],[In Spotify Playlists]],STREAMS_STATS[[#This Row],[In Apple Playlists]],STREAMS_STATS[[#This Row],[In Deezer Playlists]],STREAMS_STATS[[#This Row],[In YouTube Playlists]])</f>
        <v>34003</v>
      </c>
      <c r="Q511" s="1">
        <v>124</v>
      </c>
      <c r="R511" s="1">
        <v>-4</v>
      </c>
      <c r="S511" s="1" t="s">
        <v>68</v>
      </c>
      <c r="T511" s="1">
        <v>88</v>
      </c>
      <c r="U511" s="1">
        <v>69</v>
      </c>
      <c r="V511" s="1">
        <v>15</v>
      </c>
      <c r="W511" s="1">
        <v>49</v>
      </c>
      <c r="X511" s="1">
        <v>192</v>
      </c>
      <c r="Y511" s="5">
        <f>STREAMS_STATS[[#This Row],[Duration]]/60</f>
        <v>3.2</v>
      </c>
      <c r="Z511" s="1">
        <v>4</v>
      </c>
      <c r="AA511" s="1">
        <v>6</v>
      </c>
      <c r="AB511" s="1">
        <v>70</v>
      </c>
    </row>
    <row r="512" spans="1:28">
      <c r="A512" t="s">
        <v>777</v>
      </c>
      <c r="B512" s="1" t="s">
        <v>81</v>
      </c>
      <c r="C512" s="1" t="s">
        <v>67</v>
      </c>
      <c r="D512" s="1">
        <v>2012</v>
      </c>
      <c r="E512" s="3">
        <v>1479264469</v>
      </c>
      <c r="F512" s="3" t="str" cm="1">
        <f t="array" ref="F512">_xlfn.IFS(STREAMS_STATS[[#This Row],[Streams]] &gt;= 1000000000, "1B+", STREAMS_STATS[[#This Row],[Streams]] &gt;= 500000000, "500M–1B", STREAMS_STATS[[#This Row],[Streams]] &gt;= 250000000, "250M–500M", TRUE, "Under 250M")</f>
        <v>1B+</v>
      </c>
      <c r="G512" s="1">
        <v>17492</v>
      </c>
      <c r="H512" s="1">
        <v>29</v>
      </c>
      <c r="I512" s="1">
        <v>49</v>
      </c>
      <c r="J512" s="1">
        <v>36965</v>
      </c>
      <c r="K512" s="1">
        <v>54</v>
      </c>
      <c r="L512" s="1">
        <v>4476</v>
      </c>
      <c r="M512" s="1">
        <v>194</v>
      </c>
      <c r="N512" s="1">
        <v>38749</v>
      </c>
      <c r="O512" s="1">
        <v>319</v>
      </c>
      <c r="P512" s="2">
        <f>SUM(STREAMS_STATS[[#This Row],[In Spotify Playlists]],STREAMS_STATS[[#This Row],[In Apple Playlists]],STREAMS_STATS[[#This Row],[In Deezer Playlists]],STREAMS_STATS[[#This Row],[In YouTube Playlists]])</f>
        <v>97682</v>
      </c>
      <c r="Q512" s="1">
        <v>126</v>
      </c>
      <c r="R512" s="1">
        <v>-4</v>
      </c>
      <c r="S512" s="1" t="s">
        <v>75</v>
      </c>
      <c r="T512" s="1">
        <v>79</v>
      </c>
      <c r="U512" s="1">
        <v>60</v>
      </c>
      <c r="V512" s="1">
        <v>13</v>
      </c>
      <c r="W512" s="1">
        <v>30</v>
      </c>
      <c r="X512" s="1">
        <v>245</v>
      </c>
      <c r="Y512" s="5">
        <f>STREAMS_STATS[[#This Row],[Duration]]/60</f>
        <v>4.083333333333333</v>
      </c>
      <c r="Z512" s="1">
        <v>7</v>
      </c>
      <c r="AA512" s="1">
        <v>10</v>
      </c>
      <c r="AB512" s="1">
        <v>80</v>
      </c>
    </row>
    <row r="513" spans="1:28">
      <c r="A513" t="s">
        <v>778</v>
      </c>
      <c r="B513" s="1" t="s">
        <v>219</v>
      </c>
      <c r="C513" s="1" t="s">
        <v>67</v>
      </c>
      <c r="D513" s="1">
        <v>2013</v>
      </c>
      <c r="E513" s="3">
        <v>294352144</v>
      </c>
      <c r="F513" s="3" t="str" cm="1">
        <f t="array" ref="F51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13" s="1">
        <v>2229</v>
      </c>
      <c r="H513" s="1">
        <v>257</v>
      </c>
      <c r="I513" s="1">
        <v>125</v>
      </c>
      <c r="J513" s="1">
        <v>3853</v>
      </c>
      <c r="K513" s="1">
        <v>125</v>
      </c>
      <c r="L513" s="2">
        <v>1800</v>
      </c>
      <c r="M513" s="1">
        <v>16</v>
      </c>
      <c r="N513" s="1">
        <v>38909</v>
      </c>
      <c r="O513" s="1">
        <v>347</v>
      </c>
      <c r="P513" s="2">
        <f>SUM(STREAMS_STATS[[#This Row],[In Spotify Playlists]],STREAMS_STATS[[#This Row],[In Apple Playlists]],STREAMS_STATS[[#This Row],[In Deezer Playlists]],STREAMS_STATS[[#This Row],[In YouTube Playlists]])</f>
        <v>46791</v>
      </c>
      <c r="Q513" s="1">
        <v>138</v>
      </c>
      <c r="R513" s="1">
        <v>-7</v>
      </c>
      <c r="S513" s="1" t="s">
        <v>75</v>
      </c>
      <c r="T513" s="1">
        <v>68</v>
      </c>
      <c r="U513" s="1">
        <v>61</v>
      </c>
      <c r="V513" s="1">
        <v>43</v>
      </c>
      <c r="W513" s="1">
        <v>49</v>
      </c>
      <c r="X513" s="1">
        <v>424</v>
      </c>
      <c r="Y513" s="5">
        <f>STREAMS_STATS[[#This Row],[Duration]]/60</f>
        <v>7.0666666666666664</v>
      </c>
      <c r="Z513" s="1">
        <v>1</v>
      </c>
      <c r="AA513" s="1">
        <v>24</v>
      </c>
      <c r="AB513" s="1">
        <v>58</v>
      </c>
    </row>
    <row r="514" spans="1:28">
      <c r="A514" t="s">
        <v>779</v>
      </c>
      <c r="B514" s="1" t="s">
        <v>332</v>
      </c>
      <c r="C514" s="1" t="s">
        <v>67</v>
      </c>
      <c r="D514" s="1">
        <v>2011</v>
      </c>
      <c r="E514" s="3">
        <v>348647203</v>
      </c>
      <c r="F514" s="3" t="str" cm="1">
        <f t="array" ref="F51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14" s="1">
        <v>2697</v>
      </c>
      <c r="H514" s="1">
        <v>376</v>
      </c>
      <c r="I514" s="1">
        <v>96</v>
      </c>
      <c r="J514" s="1">
        <v>11284</v>
      </c>
      <c r="K514" s="1">
        <v>69</v>
      </c>
      <c r="L514" s="1">
        <v>2262</v>
      </c>
      <c r="M514" s="1">
        <v>81</v>
      </c>
      <c r="N514" s="1">
        <v>32865</v>
      </c>
      <c r="O514" s="1">
        <v>113</v>
      </c>
      <c r="P514" s="2">
        <f>SUM(STREAMS_STATS[[#This Row],[In Spotify Playlists]],STREAMS_STATS[[#This Row],[In Apple Playlists]],STREAMS_STATS[[#This Row],[In Deezer Playlists]],STREAMS_STATS[[#This Row],[In YouTube Playlists]])</f>
        <v>49108</v>
      </c>
      <c r="Q514" s="1">
        <v>126</v>
      </c>
      <c r="R514" s="1">
        <v>-4</v>
      </c>
      <c r="S514" s="1" t="s">
        <v>68</v>
      </c>
      <c r="T514" s="1">
        <v>89</v>
      </c>
      <c r="U514" s="1">
        <v>65</v>
      </c>
      <c r="V514" s="1">
        <v>12</v>
      </c>
      <c r="W514" s="1">
        <v>32</v>
      </c>
      <c r="X514" s="1">
        <v>232</v>
      </c>
      <c r="Y514" s="5">
        <f>STREAMS_STATS[[#This Row],[Duration]]/60</f>
        <v>3.8666666666666667</v>
      </c>
      <c r="Z514" s="1">
        <v>3</v>
      </c>
      <c r="AA514" s="1">
        <v>5</v>
      </c>
      <c r="AB514" s="1">
        <v>63</v>
      </c>
    </row>
    <row r="515" spans="1:28">
      <c r="A515" t="s">
        <v>780</v>
      </c>
      <c r="B515" s="1" t="s">
        <v>781</v>
      </c>
      <c r="C515" s="1" t="s">
        <v>67</v>
      </c>
      <c r="D515" s="1">
        <v>2011</v>
      </c>
      <c r="E515" s="3">
        <v>885093467</v>
      </c>
      <c r="F515" s="3" t="str" cm="1">
        <f t="array" ref="F51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15" s="1">
        <v>7930</v>
      </c>
      <c r="H515" s="1">
        <v>64</v>
      </c>
      <c r="I515" s="1">
        <v>247</v>
      </c>
      <c r="J515" s="1">
        <v>29783</v>
      </c>
      <c r="K515" s="1">
        <v>81</v>
      </c>
      <c r="L515" s="1">
        <v>1499</v>
      </c>
      <c r="M515" s="1">
        <v>131</v>
      </c>
      <c r="N515" s="1">
        <v>10564</v>
      </c>
      <c r="O515" s="1">
        <v>138</v>
      </c>
      <c r="P515" s="2">
        <f>SUM(STREAMS_STATS[[#This Row],[In Spotify Playlists]],STREAMS_STATS[[#This Row],[In Apple Playlists]],STREAMS_STATS[[#This Row],[In Deezer Playlists]],STREAMS_STATS[[#This Row],[In YouTube Playlists]])</f>
        <v>49776</v>
      </c>
      <c r="Q515" s="1">
        <v>100</v>
      </c>
      <c r="R515" s="1">
        <v>-5</v>
      </c>
      <c r="S515" s="1" t="s">
        <v>75</v>
      </c>
      <c r="T515" s="1">
        <v>78</v>
      </c>
      <c r="U515" s="1">
        <v>69</v>
      </c>
      <c r="V515" s="1">
        <v>16</v>
      </c>
      <c r="W515" s="1">
        <v>81</v>
      </c>
      <c r="X515" s="1">
        <v>200</v>
      </c>
      <c r="Y515" s="5">
        <f>STREAMS_STATS[[#This Row],[Duration]]/60</f>
        <v>3.3333333333333335</v>
      </c>
      <c r="Z515" s="1">
        <v>8</v>
      </c>
      <c r="AA515" s="1">
        <v>12</v>
      </c>
      <c r="AB515" s="1">
        <v>75</v>
      </c>
    </row>
    <row r="516" spans="1:28">
      <c r="A516" t="s">
        <v>782</v>
      </c>
      <c r="B516" s="1" t="s">
        <v>401</v>
      </c>
      <c r="C516" s="1" t="s">
        <v>402</v>
      </c>
      <c r="D516" s="1">
        <v>2016</v>
      </c>
      <c r="E516" s="3">
        <v>797402345</v>
      </c>
      <c r="F516" s="3" t="str" cm="1">
        <f t="array" ref="F51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16" s="1">
        <v>6952</v>
      </c>
      <c r="H516" s="1">
        <v>115</v>
      </c>
      <c r="I516" s="1">
        <v>68</v>
      </c>
      <c r="J516" s="1">
        <v>25679</v>
      </c>
      <c r="K516" s="1">
        <v>1</v>
      </c>
      <c r="L516" s="1">
        <v>29</v>
      </c>
      <c r="M516" s="1">
        <v>50</v>
      </c>
      <c r="N516" s="1">
        <v>36571</v>
      </c>
      <c r="O516" s="1">
        <v>194</v>
      </c>
      <c r="P516" s="2">
        <f>SUM(STREAMS_STATS[[#This Row],[In Spotify Playlists]],STREAMS_STATS[[#This Row],[In Apple Playlists]],STREAMS_STATS[[#This Row],[In Deezer Playlists]],STREAMS_STATS[[#This Row],[In YouTube Playlists]])</f>
        <v>69231</v>
      </c>
      <c r="Q516" s="1">
        <v>118</v>
      </c>
      <c r="R516" s="1">
        <v>-8</v>
      </c>
      <c r="S516" s="1" t="s">
        <v>68</v>
      </c>
      <c r="T516" s="1">
        <v>65</v>
      </c>
      <c r="U516" s="1">
        <v>79</v>
      </c>
      <c r="V516" s="1">
        <v>10</v>
      </c>
      <c r="W516" s="1">
        <v>39</v>
      </c>
      <c r="X516" s="1">
        <v>263</v>
      </c>
      <c r="Y516" s="5">
        <f>STREAMS_STATS[[#This Row],[Duration]]/60</f>
        <v>4.3833333333333337</v>
      </c>
      <c r="Z516" s="1">
        <v>5</v>
      </c>
      <c r="AA516" s="1">
        <v>10</v>
      </c>
      <c r="AB516" s="1">
        <v>74</v>
      </c>
    </row>
    <row r="517" spans="1:28">
      <c r="A517" t="s">
        <v>783</v>
      </c>
      <c r="B517" s="1" t="s">
        <v>171</v>
      </c>
      <c r="C517" s="1" t="s">
        <v>67</v>
      </c>
      <c r="D517" s="1">
        <v>2016</v>
      </c>
      <c r="E517" s="3">
        <v>646886885</v>
      </c>
      <c r="F517" s="3" t="str" cm="1">
        <f t="array" ref="F51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17" s="1">
        <v>5281</v>
      </c>
      <c r="H517" s="1">
        <v>296</v>
      </c>
      <c r="I517" s="1">
        <v>1</v>
      </c>
      <c r="J517" s="1">
        <v>38178</v>
      </c>
      <c r="K517" s="1">
        <v>1</v>
      </c>
      <c r="L517" s="1">
        <v>58</v>
      </c>
      <c r="M517" s="1">
        <v>15</v>
      </c>
      <c r="N517" s="1">
        <v>7085</v>
      </c>
      <c r="O517" s="1">
        <v>228</v>
      </c>
      <c r="P517" s="2">
        <f>SUM(STREAMS_STATS[[#This Row],[In Spotify Playlists]],STREAMS_STATS[[#This Row],[In Apple Playlists]],STREAMS_STATS[[#This Row],[In Deezer Playlists]],STREAMS_STATS[[#This Row],[In YouTube Playlists]])</f>
        <v>50602</v>
      </c>
      <c r="Q517" s="1">
        <v>105</v>
      </c>
      <c r="R517" s="1">
        <v>-6</v>
      </c>
      <c r="S517" s="1" t="s">
        <v>75</v>
      </c>
      <c r="T517" s="1">
        <v>79</v>
      </c>
      <c r="U517" s="1">
        <v>55</v>
      </c>
      <c r="V517" s="1">
        <v>47</v>
      </c>
      <c r="W517" s="1">
        <v>82</v>
      </c>
      <c r="X517" s="1">
        <v>232</v>
      </c>
      <c r="Y517" s="5">
        <f>STREAMS_STATS[[#This Row],[Duration]]/60</f>
        <v>3.8666666666666667</v>
      </c>
      <c r="Z517" s="1">
        <v>12</v>
      </c>
      <c r="AA517" s="1">
        <v>13</v>
      </c>
      <c r="AB517" s="1">
        <v>72</v>
      </c>
    </row>
    <row r="518" spans="1:28">
      <c r="A518" t="s">
        <v>784</v>
      </c>
      <c r="B518" s="1" t="s">
        <v>408</v>
      </c>
      <c r="C518" s="1" t="s">
        <v>67</v>
      </c>
      <c r="D518" s="1">
        <v>2017</v>
      </c>
      <c r="E518" s="3">
        <v>299648208</v>
      </c>
      <c r="F518" s="3" t="str" cm="1">
        <f t="array" ref="F51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18" s="1">
        <v>2301</v>
      </c>
      <c r="H518" s="1">
        <v>299</v>
      </c>
      <c r="I518" s="1">
        <v>17</v>
      </c>
      <c r="J518" s="1">
        <v>29036</v>
      </c>
      <c r="K518" s="1">
        <v>17</v>
      </c>
      <c r="L518" s="1">
        <v>154</v>
      </c>
      <c r="M518" s="1">
        <v>37</v>
      </c>
      <c r="N518" s="1">
        <v>18799</v>
      </c>
      <c r="O518" s="1">
        <v>3</v>
      </c>
      <c r="P518" s="2">
        <f>SUM(STREAMS_STATS[[#This Row],[In Spotify Playlists]],STREAMS_STATS[[#This Row],[In Apple Playlists]],STREAMS_STATS[[#This Row],[In Deezer Playlists]],STREAMS_STATS[[#This Row],[In YouTube Playlists]])</f>
        <v>50290</v>
      </c>
      <c r="Q518" s="1">
        <v>102</v>
      </c>
      <c r="R518" s="1">
        <v>-4</v>
      </c>
      <c r="S518" s="1" t="s">
        <v>75</v>
      </c>
      <c r="T518" s="1">
        <v>75</v>
      </c>
      <c r="U518" s="1">
        <v>64</v>
      </c>
      <c r="V518" s="1">
        <v>49</v>
      </c>
      <c r="W518" s="1">
        <v>53</v>
      </c>
      <c r="X518" s="1">
        <v>203</v>
      </c>
      <c r="Y518" s="5">
        <f>STREAMS_STATS[[#This Row],[Duration]]/60</f>
        <v>3.3833333333333333</v>
      </c>
      <c r="Z518" s="1">
        <v>4</v>
      </c>
      <c r="AA518" s="1">
        <v>11</v>
      </c>
      <c r="AB518" s="1">
        <v>59</v>
      </c>
    </row>
    <row r="519" spans="1:28">
      <c r="A519" t="s">
        <v>785</v>
      </c>
      <c r="B519" s="1" t="s">
        <v>786</v>
      </c>
      <c r="C519" s="1" t="s">
        <v>24</v>
      </c>
      <c r="D519" s="1">
        <v>2019</v>
      </c>
      <c r="E519" s="3">
        <v>2665343922</v>
      </c>
      <c r="F519" s="3" t="str" cm="1">
        <f t="array" ref="F519">_xlfn.IFS(STREAMS_STATS[[#This Row],[Streams]] &gt;= 1000000000, "1B+", STREAMS_STATS[[#This Row],[Streams]] &gt;= 500000000, "500M–1B", STREAMS_STATS[[#This Row],[Streams]] &gt;= 250000000, "250M–500M", TRUE, "Under 250M")</f>
        <v>1B+</v>
      </c>
      <c r="G519" s="1">
        <v>43257</v>
      </c>
      <c r="H519" s="1">
        <v>2</v>
      </c>
      <c r="I519" s="1">
        <v>129</v>
      </c>
      <c r="J519" s="1">
        <v>22355</v>
      </c>
      <c r="K519" s="1">
        <v>129</v>
      </c>
      <c r="L519" s="2">
        <v>3895</v>
      </c>
      <c r="M519" s="1">
        <v>6</v>
      </c>
      <c r="N519" s="1">
        <v>36128</v>
      </c>
      <c r="O519" s="1">
        <v>349</v>
      </c>
      <c r="P519" s="2">
        <f>SUM(STREAMS_STATS[[#This Row],[In Spotify Playlists]],STREAMS_STATS[[#This Row],[In Apple Playlists]],STREAMS_STATS[[#This Row],[In Deezer Playlists]],STREAMS_STATS[[#This Row],[In YouTube Playlists]])</f>
        <v>105635</v>
      </c>
      <c r="Q519" s="1">
        <v>127</v>
      </c>
      <c r="R519" s="1">
        <v>-6</v>
      </c>
      <c r="S519" s="1" t="s">
        <v>75</v>
      </c>
      <c r="T519" s="1">
        <v>46</v>
      </c>
      <c r="U519" s="1">
        <v>62</v>
      </c>
      <c r="V519" s="1">
        <v>14</v>
      </c>
      <c r="W519" s="1">
        <v>50</v>
      </c>
      <c r="X519" s="1">
        <v>184</v>
      </c>
      <c r="Y519" s="5">
        <f>STREAMS_STATS[[#This Row],[Duration]]/60</f>
        <v>3.0666666666666669</v>
      </c>
      <c r="Z519" s="1">
        <v>56</v>
      </c>
      <c r="AA519" s="1">
        <v>3</v>
      </c>
      <c r="AB519" s="1">
        <v>92</v>
      </c>
    </row>
    <row r="520" spans="1:28">
      <c r="A520" t="s">
        <v>787</v>
      </c>
      <c r="B520" s="1" t="s">
        <v>38</v>
      </c>
      <c r="C520" s="1" t="s">
        <v>25</v>
      </c>
      <c r="D520" s="1">
        <v>2014</v>
      </c>
      <c r="E520" s="3">
        <v>1115880852</v>
      </c>
      <c r="F520" s="3" t="str" cm="1">
        <f t="array" ref="F520">_xlfn.IFS(STREAMS_STATS[[#This Row],[Streams]] &gt;= 1000000000, "1B+", STREAMS_STATS[[#This Row],[Streams]] &gt;= 500000000, "500M–1B", STREAMS_STATS[[#This Row],[Streams]] &gt;= 250000000, "250M–500M", TRUE, "Under 250M")</f>
        <v>1B+</v>
      </c>
      <c r="G520" s="1">
        <v>9974</v>
      </c>
      <c r="H520" s="1">
        <v>87</v>
      </c>
      <c r="I520" s="1">
        <v>14</v>
      </c>
      <c r="J520" s="1">
        <v>26533</v>
      </c>
      <c r="K520" s="1">
        <v>14</v>
      </c>
      <c r="L520" s="1">
        <v>2</v>
      </c>
      <c r="M520" s="1">
        <v>30</v>
      </c>
      <c r="N520" s="1">
        <v>28656</v>
      </c>
      <c r="O520" s="1">
        <v>53</v>
      </c>
      <c r="P520" s="2">
        <f>SUM(STREAMS_STATS[[#This Row],[In Spotify Playlists]],STREAMS_STATS[[#This Row],[In Apple Playlists]],STREAMS_STATS[[#This Row],[In Deezer Playlists]],STREAMS_STATS[[#This Row],[In YouTube Playlists]])</f>
        <v>65165</v>
      </c>
      <c r="Q520" s="1">
        <v>116</v>
      </c>
      <c r="R520" s="1">
        <v>-5</v>
      </c>
      <c r="S520" s="1" t="s">
        <v>68</v>
      </c>
      <c r="T520" s="1">
        <v>69</v>
      </c>
      <c r="U520" s="1">
        <v>87</v>
      </c>
      <c r="V520" s="1">
        <v>32</v>
      </c>
      <c r="W520" s="1">
        <v>94</v>
      </c>
      <c r="X520" s="1">
        <v>179</v>
      </c>
      <c r="Y520" s="5">
        <f>STREAMS_STATS[[#This Row],[Duration]]/60</f>
        <v>2.9833333333333334</v>
      </c>
      <c r="Z520" s="1">
        <v>4</v>
      </c>
      <c r="AA520" s="1">
        <v>4</v>
      </c>
      <c r="AB520" s="1">
        <v>77</v>
      </c>
    </row>
    <row r="521" spans="1:28">
      <c r="A521" t="s">
        <v>788</v>
      </c>
      <c r="B521" s="1" t="s">
        <v>33</v>
      </c>
      <c r="C521" s="1" t="s">
        <v>134</v>
      </c>
      <c r="D521" s="1">
        <v>2017</v>
      </c>
      <c r="E521" s="3">
        <v>2009094673</v>
      </c>
      <c r="F521" s="3" t="str" cm="1">
        <f t="array" ref="F521">_xlfn.IFS(STREAMS_STATS[[#This Row],[Streams]] &gt;= 1000000000, "1B+", STREAMS_STATS[[#This Row],[Streams]] &gt;= 500000000, "500M–1B", STREAMS_STATS[[#This Row],[Streams]] &gt;= 250000000, "250M–500M", TRUE, "Under 250M")</f>
        <v>1B+</v>
      </c>
      <c r="G521" s="1">
        <v>27221</v>
      </c>
      <c r="H521" s="1">
        <v>8</v>
      </c>
      <c r="I521" s="1">
        <v>13</v>
      </c>
      <c r="J521" s="1">
        <v>25937</v>
      </c>
      <c r="K521" s="1">
        <v>13</v>
      </c>
      <c r="L521" s="1">
        <v>93</v>
      </c>
      <c r="M521" s="1">
        <v>16</v>
      </c>
      <c r="N521" s="1">
        <v>39054</v>
      </c>
      <c r="O521" s="1">
        <v>125</v>
      </c>
      <c r="P521" s="2">
        <f>SUM(STREAMS_STATS[[#This Row],[In Spotify Playlists]],STREAMS_STATS[[#This Row],[In Apple Playlists]],STREAMS_STATS[[#This Row],[In Deezer Playlists]],STREAMS_STATS[[#This Row],[In YouTube Playlists]])</f>
        <v>92305</v>
      </c>
      <c r="Q521" s="1">
        <v>83</v>
      </c>
      <c r="R521" s="1">
        <v>-4</v>
      </c>
      <c r="S521" s="1" t="s">
        <v>75</v>
      </c>
      <c r="T521" s="1">
        <v>82</v>
      </c>
      <c r="U521" s="1">
        <v>44</v>
      </c>
      <c r="V521" s="1">
        <v>11</v>
      </c>
      <c r="W521" s="1">
        <v>75</v>
      </c>
      <c r="X521" s="1">
        <v>188</v>
      </c>
      <c r="Y521" s="5">
        <f>STREAMS_STATS[[#This Row],[Duration]]/60</f>
        <v>3.1333333333333333</v>
      </c>
      <c r="Z521" s="1">
        <v>11</v>
      </c>
      <c r="AA521" s="1">
        <v>34</v>
      </c>
      <c r="AB521" s="1">
        <v>84</v>
      </c>
    </row>
    <row r="522" spans="1:28">
      <c r="A522" t="s">
        <v>789</v>
      </c>
      <c r="B522" s="1" t="s">
        <v>236</v>
      </c>
      <c r="C522" s="1" t="s">
        <v>237</v>
      </c>
      <c r="D522" s="1">
        <v>2016</v>
      </c>
      <c r="E522" s="3">
        <v>245095641</v>
      </c>
      <c r="F522" s="3" t="str" cm="1">
        <f t="array" ref="F522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22" s="1">
        <v>1794</v>
      </c>
      <c r="H522" s="1">
        <v>134</v>
      </c>
      <c r="I522" s="1">
        <v>57</v>
      </c>
      <c r="J522" s="1">
        <v>4730</v>
      </c>
      <c r="K522" s="1">
        <v>82</v>
      </c>
      <c r="L522" s="1">
        <v>8</v>
      </c>
      <c r="M522" s="1">
        <v>4</v>
      </c>
      <c r="N522" s="1">
        <v>17933</v>
      </c>
      <c r="O522" s="1">
        <v>48</v>
      </c>
      <c r="P522" s="2">
        <f>SUM(STREAMS_STATS[[#This Row],[In Spotify Playlists]],STREAMS_STATS[[#This Row],[In Apple Playlists]],STREAMS_STATS[[#This Row],[In Deezer Playlists]],STREAMS_STATS[[#This Row],[In YouTube Playlists]])</f>
        <v>24465</v>
      </c>
      <c r="Q522" s="1">
        <v>126</v>
      </c>
      <c r="R522" s="1">
        <v>-3</v>
      </c>
      <c r="S522" s="1" t="s">
        <v>68</v>
      </c>
      <c r="T522" s="1">
        <v>79</v>
      </c>
      <c r="U522" s="1">
        <v>57</v>
      </c>
      <c r="V522" s="1">
        <v>10</v>
      </c>
      <c r="W522" s="1">
        <v>49</v>
      </c>
      <c r="X522" s="1">
        <v>225</v>
      </c>
      <c r="Y522" s="5">
        <f>STREAMS_STATS[[#This Row],[Duration]]/60</f>
        <v>3.75</v>
      </c>
      <c r="Z522" s="1">
        <v>40</v>
      </c>
      <c r="AA522" s="1">
        <v>4</v>
      </c>
      <c r="AB522" s="1">
        <v>51</v>
      </c>
    </row>
    <row r="523" spans="1:28">
      <c r="A523" t="s">
        <v>790</v>
      </c>
      <c r="B523" s="1" t="s">
        <v>743</v>
      </c>
      <c r="C523" s="1" t="s">
        <v>67</v>
      </c>
      <c r="D523" s="1">
        <v>2015</v>
      </c>
      <c r="E523" s="3">
        <v>500340342</v>
      </c>
      <c r="F523" s="3" t="str" cm="1">
        <f t="array" ref="F523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23" s="1">
        <v>4053</v>
      </c>
      <c r="H523" s="1">
        <v>259</v>
      </c>
      <c r="I523" s="1">
        <v>5</v>
      </c>
      <c r="J523" s="1">
        <v>16606</v>
      </c>
      <c r="K523" s="1">
        <v>5</v>
      </c>
      <c r="L523" s="1">
        <v>6</v>
      </c>
      <c r="M523" s="1">
        <v>34</v>
      </c>
      <c r="N523" s="1">
        <v>4014</v>
      </c>
      <c r="O523" s="1">
        <v>188</v>
      </c>
      <c r="P523" s="2">
        <f>SUM(STREAMS_STATS[[#This Row],[In Spotify Playlists]],STREAMS_STATS[[#This Row],[In Apple Playlists]],STREAMS_STATS[[#This Row],[In Deezer Playlists]],STREAMS_STATS[[#This Row],[In YouTube Playlists]])</f>
        <v>24679</v>
      </c>
      <c r="Q523" s="1">
        <v>82</v>
      </c>
      <c r="R523" s="1">
        <v>-5</v>
      </c>
      <c r="S523" s="1" t="s">
        <v>75</v>
      </c>
      <c r="T523" s="1">
        <v>70</v>
      </c>
      <c r="U523" s="1">
        <v>63</v>
      </c>
      <c r="V523" s="1">
        <v>10</v>
      </c>
      <c r="W523" s="1">
        <v>64</v>
      </c>
      <c r="X523" s="1">
        <v>217</v>
      </c>
      <c r="Y523" s="5">
        <f>STREAMS_STATS[[#This Row],[Duration]]/60</f>
        <v>3.6166666666666667</v>
      </c>
      <c r="Z523" s="1">
        <v>56</v>
      </c>
      <c r="AA523" s="1">
        <v>24</v>
      </c>
      <c r="AB523" s="1">
        <v>69</v>
      </c>
    </row>
    <row r="524" spans="1:28">
      <c r="A524" t="s">
        <v>791</v>
      </c>
      <c r="B524" s="1" t="s">
        <v>367</v>
      </c>
      <c r="C524" s="1" t="s">
        <v>25</v>
      </c>
      <c r="D524" s="1">
        <v>2019</v>
      </c>
      <c r="E524" s="3">
        <v>2591224264</v>
      </c>
      <c r="F524" s="3" t="str" cm="1">
        <f t="array" ref="F524">_xlfn.IFS(STREAMS_STATS[[#This Row],[Streams]] &gt;= 1000000000, "1B+", STREAMS_STATS[[#This Row],[Streams]] &gt;= 500000000, "500M–1B", STREAMS_STATS[[#This Row],[Streams]] &gt;= 250000000, "250M–500M", TRUE, "Under 250M")</f>
        <v>1B+</v>
      </c>
      <c r="G524" s="1">
        <v>41751</v>
      </c>
      <c r="H524" s="1">
        <v>2</v>
      </c>
      <c r="I524" s="1">
        <v>67</v>
      </c>
      <c r="J524" s="1">
        <v>37965</v>
      </c>
      <c r="K524" s="1">
        <v>67</v>
      </c>
      <c r="L524" s="2">
        <v>1066</v>
      </c>
      <c r="M524" s="1">
        <v>1</v>
      </c>
      <c r="N524" s="1">
        <v>37729</v>
      </c>
      <c r="O524" s="1">
        <v>384</v>
      </c>
      <c r="P524" s="2">
        <f>SUM(STREAMS_STATS[[#This Row],[In Spotify Playlists]],STREAMS_STATS[[#This Row],[In Apple Playlists]],STREAMS_STATS[[#This Row],[In Deezer Playlists]],STREAMS_STATS[[#This Row],[In YouTube Playlists]])</f>
        <v>118511</v>
      </c>
      <c r="Q524" s="1">
        <v>158</v>
      </c>
      <c r="R524" s="1">
        <v>-3</v>
      </c>
      <c r="S524" s="1" t="s">
        <v>68</v>
      </c>
      <c r="T524" s="1">
        <v>62</v>
      </c>
      <c r="U524" s="1">
        <v>72</v>
      </c>
      <c r="V524" s="1">
        <v>12</v>
      </c>
      <c r="W524" s="1">
        <v>41</v>
      </c>
      <c r="X524" s="1">
        <v>173</v>
      </c>
      <c r="Y524" s="5">
        <f>STREAMS_STATS[[#This Row],[Duration]]/60</f>
        <v>2.8833333333333333</v>
      </c>
      <c r="Z524" s="1">
        <v>11</v>
      </c>
      <c r="AA524" s="1">
        <v>11</v>
      </c>
      <c r="AB524" s="1">
        <v>90</v>
      </c>
    </row>
    <row r="525" spans="1:28">
      <c r="A525" t="s">
        <v>792</v>
      </c>
      <c r="B525" s="1" t="s">
        <v>169</v>
      </c>
      <c r="C525" s="1" t="s">
        <v>67</v>
      </c>
      <c r="D525" s="1">
        <v>2012</v>
      </c>
      <c r="E525" s="3">
        <v>809306935</v>
      </c>
      <c r="F525" s="3" t="str" cm="1">
        <f t="array" ref="F52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25" s="1">
        <v>7191</v>
      </c>
      <c r="H525" s="1">
        <v>230</v>
      </c>
      <c r="I525" s="1">
        <v>184</v>
      </c>
      <c r="J525" s="1">
        <v>32739</v>
      </c>
      <c r="K525" s="1">
        <v>61</v>
      </c>
      <c r="L525" s="1">
        <v>7241</v>
      </c>
      <c r="M525" s="1">
        <v>58</v>
      </c>
      <c r="N525" s="1">
        <v>18500</v>
      </c>
      <c r="O525" s="1">
        <v>28</v>
      </c>
      <c r="P525" s="2">
        <f>SUM(STREAMS_STATS[[#This Row],[In Spotify Playlists]],STREAMS_STATS[[#This Row],[In Apple Playlists]],STREAMS_STATS[[#This Row],[In Deezer Playlists]],STREAMS_STATS[[#This Row],[In YouTube Playlists]])</f>
        <v>65671</v>
      </c>
      <c r="Q525" s="1">
        <v>104</v>
      </c>
      <c r="R525" s="1">
        <v>-7</v>
      </c>
      <c r="S525" s="1" t="s">
        <v>75</v>
      </c>
      <c r="T525" s="1">
        <v>63</v>
      </c>
      <c r="U525" s="1">
        <v>67</v>
      </c>
      <c r="V525" s="1">
        <v>9</v>
      </c>
      <c r="W525" s="1">
        <v>55</v>
      </c>
      <c r="X525" s="1">
        <v>248</v>
      </c>
      <c r="Y525" s="5">
        <f>STREAMS_STATS[[#This Row],[Duration]]/60</f>
        <v>4.1333333333333337</v>
      </c>
      <c r="Z525" s="1">
        <v>0</v>
      </c>
      <c r="AA525" s="1">
        <v>3</v>
      </c>
      <c r="AB525" s="1">
        <v>74</v>
      </c>
    </row>
    <row r="526" spans="1:28">
      <c r="A526" t="s">
        <v>793</v>
      </c>
      <c r="B526" s="1" t="s">
        <v>283</v>
      </c>
      <c r="C526" s="1" t="s">
        <v>284</v>
      </c>
      <c r="D526" s="1">
        <v>2010</v>
      </c>
      <c r="E526" s="3">
        <v>335074782</v>
      </c>
      <c r="F526" s="3" t="str" cm="1">
        <f t="array" ref="F52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26" s="1">
        <v>2597</v>
      </c>
      <c r="H526" s="1">
        <v>149</v>
      </c>
      <c r="I526" s="1">
        <v>278</v>
      </c>
      <c r="J526" s="1">
        <v>2315</v>
      </c>
      <c r="K526" s="1">
        <v>95</v>
      </c>
      <c r="L526" s="1">
        <v>5651</v>
      </c>
      <c r="M526" s="1">
        <v>103</v>
      </c>
      <c r="N526" s="1">
        <v>22110</v>
      </c>
      <c r="O526" s="1">
        <v>180</v>
      </c>
      <c r="P526" s="2">
        <f>SUM(STREAMS_STATS[[#This Row],[In Spotify Playlists]],STREAMS_STATS[[#This Row],[In Apple Playlists]],STREAMS_STATS[[#This Row],[In Deezer Playlists]],STREAMS_STATS[[#This Row],[In YouTube Playlists]])</f>
        <v>32673</v>
      </c>
      <c r="Q526" s="1">
        <v>111</v>
      </c>
      <c r="R526" s="1">
        <v>-5</v>
      </c>
      <c r="S526" s="1" t="s">
        <v>68</v>
      </c>
      <c r="T526" s="1">
        <v>82</v>
      </c>
      <c r="U526" s="1">
        <v>50</v>
      </c>
      <c r="V526" s="1">
        <v>13</v>
      </c>
      <c r="W526" s="1">
        <v>55</v>
      </c>
      <c r="X526" s="1">
        <v>249</v>
      </c>
      <c r="Y526" s="5">
        <f>STREAMS_STATS[[#This Row],[Duration]]/60</f>
        <v>4.1500000000000004</v>
      </c>
      <c r="Z526" s="1">
        <v>16</v>
      </c>
      <c r="AA526" s="1">
        <v>11</v>
      </c>
      <c r="AB526" s="1">
        <v>62</v>
      </c>
    </row>
    <row r="527" spans="1:28">
      <c r="A527" t="s">
        <v>794</v>
      </c>
      <c r="B527" s="1" t="s">
        <v>577</v>
      </c>
      <c r="C527" s="1" t="s">
        <v>67</v>
      </c>
      <c r="D527" s="1">
        <v>2012</v>
      </c>
      <c r="E527" s="3">
        <v>391251368</v>
      </c>
      <c r="F527" s="3" t="str" cm="1">
        <f t="array" ref="F52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27" s="1">
        <v>3009</v>
      </c>
      <c r="H527" s="1">
        <v>175</v>
      </c>
      <c r="I527" s="1">
        <v>315</v>
      </c>
      <c r="J527" s="1">
        <v>8911</v>
      </c>
      <c r="K527" s="1">
        <v>72</v>
      </c>
      <c r="L527" s="1">
        <v>786</v>
      </c>
      <c r="M527" s="1">
        <v>132</v>
      </c>
      <c r="N527" s="1">
        <v>25047</v>
      </c>
      <c r="O527" s="1">
        <v>162</v>
      </c>
      <c r="P527" s="2">
        <f>SUM(STREAMS_STATS[[#This Row],[In Spotify Playlists]],STREAMS_STATS[[#This Row],[In Apple Playlists]],STREAMS_STATS[[#This Row],[In Deezer Playlists]],STREAMS_STATS[[#This Row],[In YouTube Playlists]])</f>
        <v>37753</v>
      </c>
      <c r="Q527" s="1">
        <v>130</v>
      </c>
      <c r="R527" s="1">
        <v>-6</v>
      </c>
      <c r="S527" s="1" t="s">
        <v>68</v>
      </c>
      <c r="T527" s="1">
        <v>84</v>
      </c>
      <c r="U527" s="1">
        <v>59</v>
      </c>
      <c r="V527" s="1">
        <v>16</v>
      </c>
      <c r="W527" s="1">
        <v>64</v>
      </c>
      <c r="X527" s="1">
        <v>228</v>
      </c>
      <c r="Y527" s="5">
        <f>STREAMS_STATS[[#This Row],[Duration]]/60</f>
        <v>3.8</v>
      </c>
      <c r="Z527" s="1">
        <v>0</v>
      </c>
      <c r="AA527" s="1">
        <v>10</v>
      </c>
      <c r="AB527" s="1">
        <v>65</v>
      </c>
    </row>
    <row r="528" spans="1:28">
      <c r="A528" t="s">
        <v>795</v>
      </c>
      <c r="B528" s="1" t="s">
        <v>796</v>
      </c>
      <c r="C528" s="1" t="s">
        <v>194</v>
      </c>
      <c r="D528" s="1">
        <v>2011</v>
      </c>
      <c r="E528" s="3">
        <v>236060709</v>
      </c>
      <c r="F528" s="3" t="str" cm="1">
        <f t="array" ref="F528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28" s="1">
        <v>1640</v>
      </c>
      <c r="H528" s="1">
        <v>257</v>
      </c>
      <c r="I528" s="1">
        <v>422</v>
      </c>
      <c r="J528" s="1">
        <v>22970</v>
      </c>
      <c r="K528" s="1">
        <v>94</v>
      </c>
      <c r="L528" s="1">
        <v>185</v>
      </c>
      <c r="M528" s="1">
        <v>89</v>
      </c>
      <c r="N528" s="1">
        <v>14984</v>
      </c>
      <c r="O528" s="1">
        <v>79</v>
      </c>
      <c r="P528" s="2">
        <f>SUM(STREAMS_STATS[[#This Row],[In Spotify Playlists]],STREAMS_STATS[[#This Row],[In Apple Playlists]],STREAMS_STATS[[#This Row],[In Deezer Playlists]],STREAMS_STATS[[#This Row],[In YouTube Playlists]])</f>
        <v>39779</v>
      </c>
      <c r="Q528" s="1">
        <v>125</v>
      </c>
      <c r="R528" s="1">
        <v>-8</v>
      </c>
      <c r="S528" s="1" t="s">
        <v>68</v>
      </c>
      <c r="T528" s="1">
        <v>38</v>
      </c>
      <c r="U528" s="1">
        <v>30</v>
      </c>
      <c r="V528" s="1">
        <v>11</v>
      </c>
      <c r="W528" s="1">
        <v>19</v>
      </c>
      <c r="X528" s="1">
        <v>255</v>
      </c>
      <c r="Y528" s="5">
        <f>STREAMS_STATS[[#This Row],[Duration]]/60</f>
        <v>4.25</v>
      </c>
      <c r="Z528" s="1">
        <v>91</v>
      </c>
      <c r="AA528" s="1">
        <v>3</v>
      </c>
      <c r="AB528" s="1">
        <v>46</v>
      </c>
    </row>
    <row r="529" spans="1:28">
      <c r="A529" t="s">
        <v>797</v>
      </c>
      <c r="B529" s="1" t="s">
        <v>34</v>
      </c>
      <c r="C529" s="1" t="s">
        <v>67</v>
      </c>
      <c r="D529" s="1">
        <v>2013</v>
      </c>
      <c r="E529" s="3">
        <v>807015863</v>
      </c>
      <c r="F529" s="3" t="str" cm="1">
        <f t="array" ref="F52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29" s="1">
        <v>7112</v>
      </c>
      <c r="H529" s="1">
        <v>436</v>
      </c>
      <c r="I529" s="1">
        <v>9</v>
      </c>
      <c r="J529" s="1">
        <v>19546</v>
      </c>
      <c r="K529" s="1">
        <v>9</v>
      </c>
      <c r="L529" s="1">
        <v>5</v>
      </c>
      <c r="M529" s="1">
        <v>34</v>
      </c>
      <c r="N529" s="1">
        <v>17300</v>
      </c>
      <c r="O529" s="1">
        <v>323</v>
      </c>
      <c r="P529" s="2">
        <f>SUM(STREAMS_STATS[[#This Row],[In Spotify Playlists]],STREAMS_STATS[[#This Row],[In Apple Playlists]],STREAMS_STATS[[#This Row],[In Deezer Playlists]],STREAMS_STATS[[#This Row],[In YouTube Playlists]])</f>
        <v>43963</v>
      </c>
      <c r="Q529" s="1">
        <v>126</v>
      </c>
      <c r="R529" s="1">
        <v>-3</v>
      </c>
      <c r="S529" s="1" t="s">
        <v>75</v>
      </c>
      <c r="T529" s="1">
        <v>92</v>
      </c>
      <c r="U529" s="1">
        <v>54</v>
      </c>
      <c r="V529" s="1">
        <v>12</v>
      </c>
      <c r="W529" s="1">
        <v>51</v>
      </c>
      <c r="X529" s="1">
        <v>184</v>
      </c>
      <c r="Y529" s="5">
        <f>STREAMS_STATS[[#This Row],[Duration]]/60</f>
        <v>3.0666666666666669</v>
      </c>
      <c r="Z529" s="1">
        <v>13</v>
      </c>
      <c r="AA529" s="1">
        <v>8</v>
      </c>
      <c r="AB529" s="1">
        <v>74</v>
      </c>
    </row>
    <row r="530" spans="1:28">
      <c r="A530" t="s">
        <v>798</v>
      </c>
      <c r="B530" s="1" t="s">
        <v>384</v>
      </c>
      <c r="C530" s="1" t="s">
        <v>67</v>
      </c>
      <c r="D530" s="1">
        <v>2013</v>
      </c>
      <c r="E530" s="3">
        <v>2559529074</v>
      </c>
      <c r="F530" s="3" t="str" cm="1">
        <f t="array" ref="F530">_xlfn.IFS(STREAMS_STATS[[#This Row],[Streams]] &gt;= 1000000000, "1B+", STREAMS_STATS[[#This Row],[Streams]] &gt;= 500000000, "500M–1B", STREAMS_STATS[[#This Row],[Streams]] &gt;= 250000000, "250M–500M", TRUE, "Under 250M")</f>
        <v>1B+</v>
      </c>
      <c r="G530" s="1">
        <v>40112</v>
      </c>
      <c r="H530" s="1">
        <v>2</v>
      </c>
      <c r="I530" s="1">
        <v>2</v>
      </c>
      <c r="J530" s="1">
        <v>31086</v>
      </c>
      <c r="K530" s="1">
        <v>2</v>
      </c>
      <c r="L530" s="1">
        <v>13</v>
      </c>
      <c r="M530" s="1">
        <v>42</v>
      </c>
      <c r="N530" s="1">
        <v>24645</v>
      </c>
      <c r="O530" s="1">
        <v>166</v>
      </c>
      <c r="P530" s="2">
        <f>SUM(STREAMS_STATS[[#This Row],[In Spotify Playlists]],STREAMS_STATS[[#This Row],[In Apple Playlists]],STREAMS_STATS[[#This Row],[In Deezer Playlists]],STREAMS_STATS[[#This Row],[In YouTube Playlists]])</f>
        <v>95856</v>
      </c>
      <c r="Q530" s="1">
        <v>160</v>
      </c>
      <c r="R530" s="1">
        <v>-5</v>
      </c>
      <c r="S530" s="1" t="s">
        <v>75</v>
      </c>
      <c r="T530" s="1">
        <v>81</v>
      </c>
      <c r="U530" s="1">
        <v>51</v>
      </c>
      <c r="V530" s="1">
        <v>21</v>
      </c>
      <c r="W530" s="1">
        <v>69</v>
      </c>
      <c r="X530" s="1">
        <v>230</v>
      </c>
      <c r="Y530" s="5">
        <f>STREAMS_STATS[[#This Row],[Duration]]/60</f>
        <v>3.8333333333333335</v>
      </c>
      <c r="Z530" s="1">
        <v>0</v>
      </c>
      <c r="AA530" s="1">
        <v>5</v>
      </c>
      <c r="AB530" s="1">
        <v>88</v>
      </c>
    </row>
    <row r="531" spans="1:28">
      <c r="A531" t="s">
        <v>799</v>
      </c>
      <c r="B531" s="1" t="s">
        <v>800</v>
      </c>
      <c r="C531" s="1" t="s">
        <v>67</v>
      </c>
      <c r="D531" s="1">
        <v>2015</v>
      </c>
      <c r="E531" s="3">
        <v>501541661</v>
      </c>
      <c r="F531" s="3" t="str" cm="1">
        <f t="array" ref="F531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31" s="1">
        <v>4057</v>
      </c>
      <c r="H531" s="1">
        <v>373</v>
      </c>
      <c r="I531" s="1">
        <v>130</v>
      </c>
      <c r="J531" s="1">
        <v>38472</v>
      </c>
      <c r="K531" s="1">
        <v>130</v>
      </c>
      <c r="L531" s="1">
        <v>625</v>
      </c>
      <c r="M531" s="1">
        <v>38</v>
      </c>
      <c r="N531" s="1">
        <v>35308</v>
      </c>
      <c r="O531" s="1">
        <v>151</v>
      </c>
      <c r="P531" s="2">
        <f>SUM(STREAMS_STATS[[#This Row],[In Spotify Playlists]],STREAMS_STATS[[#This Row],[In Apple Playlists]],STREAMS_STATS[[#This Row],[In Deezer Playlists]],STREAMS_STATS[[#This Row],[In YouTube Playlists]])</f>
        <v>78462</v>
      </c>
      <c r="Q531" s="1">
        <v>115</v>
      </c>
      <c r="R531" s="1">
        <v>-5</v>
      </c>
      <c r="S531" s="1" t="s">
        <v>68</v>
      </c>
      <c r="T531" s="1">
        <v>85</v>
      </c>
      <c r="U531" s="1">
        <v>69</v>
      </c>
      <c r="V531" s="1">
        <v>10</v>
      </c>
      <c r="W531" s="1">
        <v>64</v>
      </c>
      <c r="X531" s="1">
        <v>224</v>
      </c>
      <c r="Y531" s="5">
        <f>STREAMS_STATS[[#This Row],[Duration]]/60</f>
        <v>3.7333333333333334</v>
      </c>
      <c r="Z531" s="1">
        <v>2</v>
      </c>
      <c r="AA531" s="1">
        <v>3</v>
      </c>
      <c r="AB531" s="1">
        <v>69</v>
      </c>
    </row>
    <row r="532" spans="1:28">
      <c r="A532" t="s">
        <v>801</v>
      </c>
      <c r="B532" s="1" t="s">
        <v>334</v>
      </c>
      <c r="C532" s="1" t="s">
        <v>67</v>
      </c>
      <c r="D532" s="1">
        <v>2015</v>
      </c>
      <c r="E532" s="3">
        <v>1759567999</v>
      </c>
      <c r="F532" s="3" t="str" cm="1">
        <f t="array" ref="F532">_xlfn.IFS(STREAMS_STATS[[#This Row],[Streams]] &gt;= 1000000000, "1B+", STREAMS_STATS[[#This Row],[Streams]] &gt;= 500000000, "500M–1B", STREAMS_STATS[[#This Row],[Streams]] &gt;= 250000000, "250M–500M", TRUE, "Under 250M")</f>
        <v>1B+</v>
      </c>
      <c r="G532" s="1">
        <v>22153</v>
      </c>
      <c r="H532" s="1">
        <v>20</v>
      </c>
      <c r="I532" s="1">
        <v>27</v>
      </c>
      <c r="J532" s="1">
        <v>30012</v>
      </c>
      <c r="K532" s="1">
        <v>27</v>
      </c>
      <c r="L532" s="1">
        <v>29</v>
      </c>
      <c r="M532" s="1">
        <v>1</v>
      </c>
      <c r="N532" s="1">
        <v>4504</v>
      </c>
      <c r="O532" s="1">
        <v>14</v>
      </c>
      <c r="P532" s="2">
        <f>SUM(STREAMS_STATS[[#This Row],[In Spotify Playlists]],STREAMS_STATS[[#This Row],[In Apple Playlists]],STREAMS_STATS[[#This Row],[In Deezer Playlists]],STREAMS_STATS[[#This Row],[In YouTube Playlists]])</f>
        <v>56698</v>
      </c>
      <c r="Q532" s="1">
        <v>115</v>
      </c>
      <c r="R532" s="1">
        <v>-7</v>
      </c>
      <c r="S532" s="1" t="s">
        <v>75</v>
      </c>
      <c r="T532" s="1">
        <v>61</v>
      </c>
      <c r="U532" s="1">
        <v>86</v>
      </c>
      <c r="V532" s="1">
        <v>3</v>
      </c>
      <c r="W532" s="1">
        <v>93</v>
      </c>
      <c r="X532" s="1">
        <v>270</v>
      </c>
      <c r="Y532" s="5">
        <f>STREAMS_STATS[[#This Row],[Duration]]/60</f>
        <v>4.5</v>
      </c>
      <c r="Z532" s="1">
        <v>1</v>
      </c>
      <c r="AA532" s="1">
        <v>8</v>
      </c>
      <c r="AB532" s="1">
        <v>82</v>
      </c>
    </row>
    <row r="533" spans="1:28">
      <c r="A533" t="s">
        <v>802</v>
      </c>
      <c r="B533" s="1" t="s">
        <v>32</v>
      </c>
      <c r="C533" s="1" t="s">
        <v>25</v>
      </c>
      <c r="D533" s="1">
        <v>2018</v>
      </c>
      <c r="E533" s="3">
        <v>427486004</v>
      </c>
      <c r="F533" s="3" t="str" cm="1">
        <f t="array" ref="F53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33" s="1">
        <v>3311</v>
      </c>
      <c r="H533" s="1">
        <v>403</v>
      </c>
      <c r="I533" s="1">
        <v>88</v>
      </c>
      <c r="J533" s="1">
        <v>37903</v>
      </c>
      <c r="K533" s="1">
        <v>88</v>
      </c>
      <c r="L533" s="1">
        <v>434</v>
      </c>
      <c r="M533" s="1">
        <v>3</v>
      </c>
      <c r="N533" s="1">
        <v>17120</v>
      </c>
      <c r="O533" s="1">
        <v>373</v>
      </c>
      <c r="P533" s="2">
        <f>SUM(STREAMS_STATS[[#This Row],[In Spotify Playlists]],STREAMS_STATS[[#This Row],[In Apple Playlists]],STREAMS_STATS[[#This Row],[In Deezer Playlists]],STREAMS_STATS[[#This Row],[In YouTube Playlists]])</f>
        <v>58768</v>
      </c>
      <c r="Q533" s="1">
        <v>126</v>
      </c>
      <c r="R533" s="1">
        <v>-5</v>
      </c>
      <c r="S533" s="1" t="s">
        <v>68</v>
      </c>
      <c r="T533" s="1">
        <v>60</v>
      </c>
      <c r="U533" s="1">
        <v>66</v>
      </c>
      <c r="V533" s="1">
        <v>11</v>
      </c>
      <c r="W533" s="1">
        <v>45</v>
      </c>
      <c r="X533" s="1">
        <v>191</v>
      </c>
      <c r="Y533" s="5">
        <f>STREAMS_STATS[[#This Row],[Duration]]/60</f>
        <v>3.1833333333333331</v>
      </c>
      <c r="Z533" s="1">
        <v>10</v>
      </c>
      <c r="AA533" s="1">
        <v>6</v>
      </c>
      <c r="AB533" s="1">
        <v>85</v>
      </c>
    </row>
    <row r="534" spans="1:28">
      <c r="A534" t="s">
        <v>803</v>
      </c>
      <c r="B534" s="1" t="s">
        <v>199</v>
      </c>
      <c r="C534" s="1" t="s">
        <v>105</v>
      </c>
      <c r="D534" s="1">
        <v>2013</v>
      </c>
      <c r="E534" s="3">
        <v>2280566092</v>
      </c>
      <c r="F534" s="3" t="str" cm="1">
        <f t="array" ref="F534">_xlfn.IFS(STREAMS_STATS[[#This Row],[Streams]] &gt;= 1000000000, "1B+", STREAMS_STATS[[#This Row],[Streams]] &gt;= 500000000, "500M–1B", STREAMS_STATS[[#This Row],[Streams]] &gt;= 250000000, "250M–500M", TRUE, "Under 250M")</f>
        <v>1B+</v>
      </c>
      <c r="G534" s="1">
        <v>31762</v>
      </c>
      <c r="H534" s="1">
        <v>3</v>
      </c>
      <c r="I534" s="1">
        <v>3</v>
      </c>
      <c r="J534" s="1">
        <v>28487</v>
      </c>
      <c r="K534" s="1">
        <v>3</v>
      </c>
      <c r="L534" s="1">
        <v>3</v>
      </c>
      <c r="M534" s="1">
        <v>43</v>
      </c>
      <c r="N534" s="1">
        <v>4860</v>
      </c>
      <c r="O534" s="1">
        <v>48</v>
      </c>
      <c r="P534" s="2">
        <f>SUM(STREAMS_STATS[[#This Row],[In Spotify Playlists]],STREAMS_STATS[[#This Row],[In Apple Playlists]],STREAMS_STATS[[#This Row],[In Deezer Playlists]],STREAMS_STATS[[#This Row],[In YouTube Playlists]])</f>
        <v>65112</v>
      </c>
      <c r="Q534" s="1">
        <v>124</v>
      </c>
      <c r="R534" s="1">
        <v>-6</v>
      </c>
      <c r="S534" s="1" t="s">
        <v>68</v>
      </c>
      <c r="T534" s="1">
        <v>78</v>
      </c>
      <c r="U534" s="1">
        <v>53</v>
      </c>
      <c r="V534" s="1">
        <v>16</v>
      </c>
      <c r="W534" s="1">
        <v>64</v>
      </c>
      <c r="X534" s="1">
        <v>247</v>
      </c>
      <c r="Y534" s="5">
        <f>STREAMS_STATS[[#This Row],[Duration]]/60</f>
        <v>4.1166666666666663</v>
      </c>
      <c r="Z534" s="1">
        <v>0</v>
      </c>
      <c r="AA534" s="1">
        <v>5</v>
      </c>
      <c r="AB534" s="1">
        <v>85</v>
      </c>
    </row>
    <row r="535" spans="1:28">
      <c r="A535" t="s">
        <v>804</v>
      </c>
      <c r="B535" s="1" t="s">
        <v>518</v>
      </c>
      <c r="C535" s="1" t="s">
        <v>519</v>
      </c>
      <c r="D535" s="1">
        <v>2018</v>
      </c>
      <c r="E535" s="3">
        <v>367316268</v>
      </c>
      <c r="F535" s="3" t="str" cm="1">
        <f t="array" ref="F53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35" s="1">
        <v>2881</v>
      </c>
      <c r="H535" s="1">
        <v>202</v>
      </c>
      <c r="I535" s="1">
        <v>99</v>
      </c>
      <c r="J535" s="1">
        <v>34347</v>
      </c>
      <c r="K535" s="1">
        <v>99</v>
      </c>
      <c r="L535" s="1">
        <v>251</v>
      </c>
      <c r="M535" s="1">
        <v>25</v>
      </c>
      <c r="N535" s="1">
        <v>20410</v>
      </c>
      <c r="O535" s="1">
        <v>13</v>
      </c>
      <c r="P535" s="2">
        <f>SUM(STREAMS_STATS[[#This Row],[In Spotify Playlists]],STREAMS_STATS[[#This Row],[In Apple Playlists]],STREAMS_STATS[[#This Row],[In Deezer Playlists]],STREAMS_STATS[[#This Row],[In YouTube Playlists]])</f>
        <v>57889</v>
      </c>
      <c r="Q535" s="1">
        <v>82</v>
      </c>
      <c r="R535" s="1">
        <v>-10</v>
      </c>
      <c r="S535" s="1" t="s">
        <v>68</v>
      </c>
      <c r="T535" s="1">
        <v>44</v>
      </c>
      <c r="U535" s="1">
        <v>48</v>
      </c>
      <c r="V535" s="1">
        <v>64</v>
      </c>
      <c r="W535" s="1">
        <v>62</v>
      </c>
      <c r="X535" s="1">
        <v>304</v>
      </c>
      <c r="Y535" s="5">
        <f>STREAMS_STATS[[#This Row],[Duration]]/60</f>
        <v>5.0666666666666664</v>
      </c>
      <c r="Z535" s="1">
        <v>81</v>
      </c>
      <c r="AA535" s="1">
        <v>24</v>
      </c>
      <c r="AB535" s="1">
        <v>65</v>
      </c>
    </row>
    <row r="536" spans="1:28">
      <c r="A536" t="s">
        <v>805</v>
      </c>
      <c r="B536" s="1" t="s">
        <v>365</v>
      </c>
      <c r="C536" s="1" t="s">
        <v>159</v>
      </c>
      <c r="D536" s="1">
        <v>2013</v>
      </c>
      <c r="E536" s="3">
        <v>334733572</v>
      </c>
      <c r="F536" s="3" t="str" cm="1">
        <f t="array" ref="F53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36" s="1">
        <v>2590</v>
      </c>
      <c r="H536" s="1">
        <v>383</v>
      </c>
      <c r="I536" s="1">
        <v>9</v>
      </c>
      <c r="J536" s="1">
        <v>6547</v>
      </c>
      <c r="K536" s="1">
        <v>9</v>
      </c>
      <c r="L536" s="1">
        <v>1925</v>
      </c>
      <c r="M536" s="1">
        <v>43</v>
      </c>
      <c r="N536" s="1">
        <v>1299</v>
      </c>
      <c r="O536" s="1">
        <v>325</v>
      </c>
      <c r="P536" s="2">
        <f>SUM(STREAMS_STATS[[#This Row],[In Spotify Playlists]],STREAMS_STATS[[#This Row],[In Apple Playlists]],STREAMS_STATS[[#This Row],[In Deezer Playlists]],STREAMS_STATS[[#This Row],[In YouTube Playlists]])</f>
        <v>12361</v>
      </c>
      <c r="Q536" s="1">
        <v>126</v>
      </c>
      <c r="R536" s="1">
        <v>-3</v>
      </c>
      <c r="S536" s="1" t="s">
        <v>68</v>
      </c>
      <c r="T536" s="1">
        <v>82</v>
      </c>
      <c r="U536" s="1">
        <v>56</v>
      </c>
      <c r="V536" s="1">
        <v>10</v>
      </c>
      <c r="W536" s="1">
        <v>43</v>
      </c>
      <c r="X536" s="1">
        <v>202</v>
      </c>
      <c r="Y536" s="5">
        <f>STREAMS_STATS[[#This Row],[Duration]]/60</f>
        <v>3.3666666666666667</v>
      </c>
      <c r="Z536" s="1">
        <v>1</v>
      </c>
      <c r="AA536" s="1">
        <v>6</v>
      </c>
      <c r="AB536" s="1">
        <v>62</v>
      </c>
    </row>
    <row r="537" spans="1:28">
      <c r="A537" t="s">
        <v>806</v>
      </c>
      <c r="B537" s="1" t="s">
        <v>427</v>
      </c>
      <c r="C537" s="1" t="s">
        <v>67</v>
      </c>
      <c r="D537" s="1">
        <v>2018</v>
      </c>
      <c r="E537" s="3">
        <v>429504768</v>
      </c>
      <c r="F537" s="3" t="str" cm="1">
        <f t="array" ref="F53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37" s="1">
        <v>3372</v>
      </c>
      <c r="H537" s="1">
        <v>149</v>
      </c>
      <c r="I537" s="1">
        <v>21</v>
      </c>
      <c r="J537" s="1">
        <v>24307</v>
      </c>
      <c r="K537" s="1">
        <v>21</v>
      </c>
      <c r="L537" s="1">
        <v>15</v>
      </c>
      <c r="M537" s="1">
        <v>40</v>
      </c>
      <c r="N537" s="1">
        <v>28227</v>
      </c>
      <c r="O537" s="1">
        <v>370</v>
      </c>
      <c r="P537" s="2">
        <f>SUM(STREAMS_STATS[[#This Row],[In Spotify Playlists]],STREAMS_STATS[[#This Row],[In Apple Playlists]],STREAMS_STATS[[#This Row],[In Deezer Playlists]],STREAMS_STATS[[#This Row],[In YouTube Playlists]])</f>
        <v>55921</v>
      </c>
      <c r="Q537" s="1">
        <v>92</v>
      </c>
      <c r="R537" s="1">
        <v>-5</v>
      </c>
      <c r="S537" s="1" t="s">
        <v>75</v>
      </c>
      <c r="T537" s="1">
        <v>69</v>
      </c>
      <c r="U537" s="1">
        <v>57</v>
      </c>
      <c r="V537" s="1">
        <v>6</v>
      </c>
      <c r="W537" s="1">
        <v>32</v>
      </c>
      <c r="X537" s="1">
        <v>212</v>
      </c>
      <c r="Y537" s="5">
        <f>STREAMS_STATS[[#This Row],[Duration]]/60</f>
        <v>3.5333333333333332</v>
      </c>
      <c r="Z537" s="1">
        <v>8</v>
      </c>
      <c r="AA537" s="1">
        <v>12</v>
      </c>
      <c r="AB537" s="1">
        <v>67</v>
      </c>
    </row>
    <row r="538" spans="1:28">
      <c r="A538" t="s">
        <v>807</v>
      </c>
      <c r="B538" s="1" t="s">
        <v>743</v>
      </c>
      <c r="C538" s="1" t="s">
        <v>67</v>
      </c>
      <c r="D538" s="1">
        <v>2015</v>
      </c>
      <c r="E538" s="3">
        <v>1109433169</v>
      </c>
      <c r="F538" s="3" t="str" cm="1">
        <f t="array" ref="F538">_xlfn.IFS(STREAMS_STATS[[#This Row],[Streams]] &gt;= 1000000000, "1B+", STREAMS_STATS[[#This Row],[Streams]] &gt;= 500000000, "500M–1B", STREAMS_STATS[[#This Row],[Streams]] &gt;= 250000000, "250M–500M", TRUE, "Under 250M")</f>
        <v>1B+</v>
      </c>
      <c r="G538" s="1">
        <v>9771</v>
      </c>
      <c r="H538" s="1">
        <v>95</v>
      </c>
      <c r="I538" s="1">
        <v>7</v>
      </c>
      <c r="J538" s="1">
        <v>34838</v>
      </c>
      <c r="K538" s="1">
        <v>7</v>
      </c>
      <c r="L538" s="1">
        <v>15</v>
      </c>
      <c r="M538" s="1">
        <v>46</v>
      </c>
      <c r="N538" s="1">
        <v>33791</v>
      </c>
      <c r="O538" s="1">
        <v>188</v>
      </c>
      <c r="P538" s="2">
        <f>SUM(STREAMS_STATS[[#This Row],[In Spotify Playlists]],STREAMS_STATS[[#This Row],[In Apple Playlists]],STREAMS_STATS[[#This Row],[In Deezer Playlists]],STREAMS_STATS[[#This Row],[In YouTube Playlists]])</f>
        <v>78415</v>
      </c>
      <c r="Q538" s="1">
        <v>114</v>
      </c>
      <c r="R538" s="1">
        <v>-6</v>
      </c>
      <c r="S538" s="1" t="s">
        <v>68</v>
      </c>
      <c r="T538" s="1">
        <v>68</v>
      </c>
      <c r="U538" s="1">
        <v>78</v>
      </c>
      <c r="V538" s="1">
        <v>11</v>
      </c>
      <c r="W538" s="1">
        <v>66</v>
      </c>
      <c r="X538" s="1">
        <v>208</v>
      </c>
      <c r="Y538" s="5">
        <f>STREAMS_STATS[[#This Row],[Duration]]/60</f>
        <v>3.4666666666666668</v>
      </c>
      <c r="Z538" s="1">
        <v>1</v>
      </c>
      <c r="AA538" s="1">
        <v>6</v>
      </c>
      <c r="AB538" s="1">
        <v>77</v>
      </c>
    </row>
    <row r="539" spans="1:28">
      <c r="A539" t="s">
        <v>808</v>
      </c>
      <c r="B539" s="1" t="s">
        <v>36</v>
      </c>
      <c r="C539" s="1" t="s">
        <v>107</v>
      </c>
      <c r="D539" s="1">
        <v>2017</v>
      </c>
      <c r="E539" s="3">
        <v>238350348</v>
      </c>
      <c r="F539" s="3" t="str" cm="1">
        <f t="array" ref="F539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39" s="1">
        <v>1681</v>
      </c>
      <c r="H539" s="1">
        <v>410</v>
      </c>
      <c r="I539" s="1">
        <v>1</v>
      </c>
      <c r="J539" s="1">
        <v>39394</v>
      </c>
      <c r="K539" s="1">
        <v>1</v>
      </c>
      <c r="L539" s="1">
        <v>62</v>
      </c>
      <c r="M539" s="1">
        <v>26</v>
      </c>
      <c r="N539" s="1">
        <v>7448</v>
      </c>
      <c r="O539" s="1">
        <v>149</v>
      </c>
      <c r="P539" s="2">
        <f>SUM(STREAMS_STATS[[#This Row],[In Spotify Playlists]],STREAMS_STATS[[#This Row],[In Apple Playlists]],STREAMS_STATS[[#This Row],[In Deezer Playlists]],STREAMS_STATS[[#This Row],[In YouTube Playlists]])</f>
        <v>48585</v>
      </c>
      <c r="Q539" s="1">
        <v>95</v>
      </c>
      <c r="R539" s="1">
        <v>-7</v>
      </c>
      <c r="S539" s="1" t="s">
        <v>68</v>
      </c>
      <c r="T539" s="1">
        <v>84</v>
      </c>
      <c r="U539" s="1">
        <v>60</v>
      </c>
      <c r="V539" s="1">
        <v>11</v>
      </c>
      <c r="W539" s="1">
        <v>47</v>
      </c>
      <c r="X539" s="1">
        <v>240</v>
      </c>
      <c r="Y539" s="5">
        <f>STREAMS_STATS[[#This Row],[Duration]]/60</f>
        <v>4</v>
      </c>
      <c r="Z539" s="1">
        <v>2</v>
      </c>
      <c r="AA539" s="1">
        <v>7</v>
      </c>
      <c r="AB539" s="1">
        <v>49</v>
      </c>
    </row>
    <row r="540" spans="1:28">
      <c r="A540" t="s">
        <v>809</v>
      </c>
      <c r="B540" s="1" t="s">
        <v>810</v>
      </c>
      <c r="C540" s="1" t="s">
        <v>661</v>
      </c>
      <c r="D540" s="1">
        <v>2015</v>
      </c>
      <c r="E540" s="3">
        <v>1089402494</v>
      </c>
      <c r="F540" s="3" t="str" cm="1">
        <f t="array" ref="F540">_xlfn.IFS(STREAMS_STATS[[#This Row],[Streams]] &gt;= 1000000000, "1B+", STREAMS_STATS[[#This Row],[Streams]] &gt;= 500000000, "500M–1B", STREAMS_STATS[[#This Row],[Streams]] &gt;= 250000000, "250M–500M", TRUE, "Under 250M")</f>
        <v>1B+</v>
      </c>
      <c r="G540" s="1">
        <v>9644</v>
      </c>
      <c r="H540" s="1">
        <v>75</v>
      </c>
      <c r="I540" s="1">
        <v>69</v>
      </c>
      <c r="J540" s="1">
        <v>35641</v>
      </c>
      <c r="K540" s="1">
        <v>39</v>
      </c>
      <c r="L540" s="1">
        <v>4</v>
      </c>
      <c r="M540" s="1">
        <v>49</v>
      </c>
      <c r="N540" s="1">
        <v>29918</v>
      </c>
      <c r="O540" s="1">
        <v>122</v>
      </c>
      <c r="P540" s="2">
        <f>SUM(STREAMS_STATS[[#This Row],[In Spotify Playlists]],STREAMS_STATS[[#This Row],[In Apple Playlists]],STREAMS_STATS[[#This Row],[In Deezer Playlists]],STREAMS_STATS[[#This Row],[In YouTube Playlists]])</f>
        <v>75207</v>
      </c>
      <c r="Q540" s="1">
        <v>120</v>
      </c>
      <c r="R540" s="1">
        <v>-9</v>
      </c>
      <c r="S540" s="1" t="s">
        <v>68</v>
      </c>
      <c r="T540" s="1">
        <v>51</v>
      </c>
      <c r="U540" s="1">
        <v>83</v>
      </c>
      <c r="V540" s="1">
        <v>8</v>
      </c>
      <c r="W540" s="1">
        <v>45</v>
      </c>
      <c r="X540" s="1">
        <v>208</v>
      </c>
      <c r="Y540" s="5">
        <f>STREAMS_STATS[[#This Row],[Duration]]/60</f>
        <v>3.4666666666666668</v>
      </c>
      <c r="Z540" s="1">
        <v>1</v>
      </c>
      <c r="AA540" s="1">
        <v>4</v>
      </c>
      <c r="AB540" s="1">
        <v>77</v>
      </c>
    </row>
    <row r="541" spans="1:28">
      <c r="A541" t="s">
        <v>811</v>
      </c>
      <c r="B541" s="1" t="s">
        <v>283</v>
      </c>
      <c r="C541" s="1" t="s">
        <v>284</v>
      </c>
      <c r="D541" s="1">
        <v>2015</v>
      </c>
      <c r="E541" s="3">
        <v>239411309</v>
      </c>
      <c r="F541" s="3" t="str" cm="1">
        <f t="array" ref="F541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41" s="1">
        <v>1682</v>
      </c>
      <c r="H541" s="1">
        <v>186</v>
      </c>
      <c r="I541" s="1">
        <v>20</v>
      </c>
      <c r="J541" s="1">
        <v>37807</v>
      </c>
      <c r="K541" s="1">
        <v>20</v>
      </c>
      <c r="L541" s="1">
        <v>7</v>
      </c>
      <c r="M541" s="1">
        <v>15</v>
      </c>
      <c r="N541" s="1">
        <v>30598</v>
      </c>
      <c r="O541" s="1">
        <v>148</v>
      </c>
      <c r="P541" s="2">
        <f>SUM(STREAMS_STATS[[#This Row],[In Spotify Playlists]],STREAMS_STATS[[#This Row],[In Apple Playlists]],STREAMS_STATS[[#This Row],[In Deezer Playlists]],STREAMS_STATS[[#This Row],[In YouTube Playlists]])</f>
        <v>70094</v>
      </c>
      <c r="Q541" s="1">
        <v>93</v>
      </c>
      <c r="R541" s="1">
        <v>-6</v>
      </c>
      <c r="S541" s="1" t="s">
        <v>68</v>
      </c>
      <c r="T541" s="1">
        <v>67</v>
      </c>
      <c r="U541" s="1">
        <v>64</v>
      </c>
      <c r="V541" s="1">
        <v>8</v>
      </c>
      <c r="W541" s="1">
        <v>8</v>
      </c>
      <c r="X541" s="1">
        <v>285</v>
      </c>
      <c r="Y541" s="5">
        <f>STREAMS_STATS[[#This Row],[Duration]]/60</f>
        <v>4.75</v>
      </c>
      <c r="Z541" s="1">
        <v>43</v>
      </c>
      <c r="AA541" s="1">
        <v>4</v>
      </c>
      <c r="AB541" s="1">
        <v>49</v>
      </c>
    </row>
    <row r="542" spans="1:28">
      <c r="A542" t="s">
        <v>812</v>
      </c>
      <c r="B542" s="1" t="s">
        <v>77</v>
      </c>
      <c r="C542" s="1" t="s">
        <v>25</v>
      </c>
      <c r="D542" s="1">
        <v>2012</v>
      </c>
      <c r="E542" s="3">
        <v>882831184</v>
      </c>
      <c r="F542" s="3" t="str" cm="1">
        <f t="array" ref="F54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42" s="1">
        <v>7923</v>
      </c>
      <c r="H542" s="1">
        <v>98</v>
      </c>
      <c r="I542" s="1">
        <v>355</v>
      </c>
      <c r="J542" s="1">
        <v>8681</v>
      </c>
      <c r="K542" s="1">
        <v>69</v>
      </c>
      <c r="L542" s="1">
        <v>2342</v>
      </c>
      <c r="M542" s="1">
        <v>173</v>
      </c>
      <c r="N542" s="1">
        <v>13999</v>
      </c>
      <c r="O542" s="1">
        <v>175</v>
      </c>
      <c r="P542" s="2">
        <f>SUM(STREAMS_STATS[[#This Row],[In Spotify Playlists]],STREAMS_STATS[[#This Row],[In Apple Playlists]],STREAMS_STATS[[#This Row],[In Deezer Playlists]],STREAMS_STATS[[#This Row],[In YouTube Playlists]])</f>
        <v>32945</v>
      </c>
      <c r="Q542" s="1">
        <v>86</v>
      </c>
      <c r="R542" s="1">
        <v>-6</v>
      </c>
      <c r="S542" s="1" t="s">
        <v>75</v>
      </c>
      <c r="T542" s="1">
        <v>68</v>
      </c>
      <c r="U542" s="1">
        <v>63</v>
      </c>
      <c r="V542" s="1">
        <v>12</v>
      </c>
      <c r="W542" s="1">
        <v>75</v>
      </c>
      <c r="X542" s="1">
        <v>193</v>
      </c>
      <c r="Y542" s="5">
        <f>STREAMS_STATS[[#This Row],[Duration]]/60</f>
        <v>3.2166666666666668</v>
      </c>
      <c r="Z542" s="1">
        <v>1</v>
      </c>
      <c r="AA542" s="1">
        <v>9</v>
      </c>
      <c r="AB542" s="1">
        <v>85</v>
      </c>
    </row>
    <row r="543" spans="1:28">
      <c r="A543" t="s">
        <v>813</v>
      </c>
      <c r="B543" s="1" t="s">
        <v>226</v>
      </c>
      <c r="C543" s="1" t="s">
        <v>67</v>
      </c>
      <c r="D543" s="1">
        <v>2014</v>
      </c>
      <c r="E543" s="3">
        <v>277132266</v>
      </c>
      <c r="F543" s="3" t="str" cm="1">
        <f t="array" ref="F54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43" s="1">
        <v>2035</v>
      </c>
      <c r="H543" s="1">
        <v>380</v>
      </c>
      <c r="I543" s="1">
        <v>9</v>
      </c>
      <c r="J543" s="1">
        <v>5845</v>
      </c>
      <c r="K543" s="1">
        <v>9</v>
      </c>
      <c r="L543" s="1">
        <v>2</v>
      </c>
      <c r="M543" s="1">
        <v>5</v>
      </c>
      <c r="N543" s="1">
        <v>18847</v>
      </c>
      <c r="O543" s="1">
        <v>191</v>
      </c>
      <c r="P543" s="2">
        <f>SUM(STREAMS_STATS[[#This Row],[In Spotify Playlists]],STREAMS_STATS[[#This Row],[In Apple Playlists]],STREAMS_STATS[[#This Row],[In Deezer Playlists]],STREAMS_STATS[[#This Row],[In YouTube Playlists]])</f>
        <v>26729</v>
      </c>
      <c r="Q543" s="1">
        <v>125</v>
      </c>
      <c r="R543" s="1">
        <v>-4</v>
      </c>
      <c r="S543" s="1" t="s">
        <v>75</v>
      </c>
      <c r="T543" s="1">
        <v>94</v>
      </c>
      <c r="U543" s="1">
        <v>60</v>
      </c>
      <c r="V543" s="1">
        <v>10</v>
      </c>
      <c r="W543" s="1">
        <v>55</v>
      </c>
      <c r="X543" s="1">
        <v>222</v>
      </c>
      <c r="Y543" s="5">
        <f>STREAMS_STATS[[#This Row],[Duration]]/60</f>
        <v>3.7</v>
      </c>
      <c r="Z543" s="1">
        <v>0</v>
      </c>
      <c r="AA543" s="1">
        <v>7</v>
      </c>
      <c r="AB543" s="1">
        <v>56</v>
      </c>
    </row>
    <row r="544" spans="1:28">
      <c r="A544" t="s">
        <v>814</v>
      </c>
      <c r="B544" s="1" t="s">
        <v>694</v>
      </c>
      <c r="C544" s="1" t="s">
        <v>695</v>
      </c>
      <c r="D544" s="1">
        <v>2012</v>
      </c>
      <c r="E544" s="3">
        <v>345903614</v>
      </c>
      <c r="F544" s="3" t="str" cm="1">
        <f t="array" ref="F54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44" s="1">
        <v>2688</v>
      </c>
      <c r="H544" s="1">
        <v>401</v>
      </c>
      <c r="I544" s="1">
        <v>273</v>
      </c>
      <c r="J544" s="1">
        <v>26470</v>
      </c>
      <c r="K544" s="1">
        <v>65</v>
      </c>
      <c r="L544" s="1">
        <v>6778</v>
      </c>
      <c r="M544" s="1">
        <v>99</v>
      </c>
      <c r="N544" s="1">
        <v>25671</v>
      </c>
      <c r="O544" s="1">
        <v>168</v>
      </c>
      <c r="P544" s="2">
        <f>SUM(STREAMS_STATS[[#This Row],[In Spotify Playlists]],STREAMS_STATS[[#This Row],[In Apple Playlists]],STREAMS_STATS[[#This Row],[In Deezer Playlists]],STREAMS_STATS[[#This Row],[In YouTube Playlists]])</f>
        <v>61607</v>
      </c>
      <c r="Q544" s="1">
        <v>184</v>
      </c>
      <c r="R544" s="1">
        <v>-6</v>
      </c>
      <c r="S544" s="1" t="s">
        <v>75</v>
      </c>
      <c r="T544" s="1">
        <v>64</v>
      </c>
      <c r="U544" s="1">
        <v>38</v>
      </c>
      <c r="V544" s="1">
        <v>8</v>
      </c>
      <c r="W544" s="1">
        <v>74</v>
      </c>
      <c r="X544" s="1">
        <v>251</v>
      </c>
      <c r="Y544" s="5">
        <f>STREAMS_STATS[[#This Row],[Duration]]/60</f>
        <v>4.1833333333333336</v>
      </c>
      <c r="Z544" s="1">
        <v>2</v>
      </c>
      <c r="AA544" s="1">
        <v>8</v>
      </c>
      <c r="AB544" s="1">
        <v>63</v>
      </c>
    </row>
    <row r="545" spans="1:28">
      <c r="A545" t="s">
        <v>815</v>
      </c>
      <c r="B545" s="1" t="s">
        <v>93</v>
      </c>
      <c r="C545" s="1" t="s">
        <v>67</v>
      </c>
      <c r="D545" s="1">
        <v>2013</v>
      </c>
      <c r="E545" s="3">
        <v>1256880657</v>
      </c>
      <c r="F545" s="3" t="str" cm="1">
        <f t="array" ref="F545">_xlfn.IFS(STREAMS_STATS[[#This Row],[Streams]] &gt;= 1000000000, "1B+", STREAMS_STATS[[#This Row],[Streams]] &gt;= 500000000, "500M–1B", STREAMS_STATS[[#This Row],[Streams]] &gt;= 250000000, "250M–500M", TRUE, "Under 250M")</f>
        <v>1B+</v>
      </c>
      <c r="G545" s="1">
        <v>12854</v>
      </c>
      <c r="H545" s="1">
        <v>59</v>
      </c>
      <c r="I545" s="1">
        <v>65</v>
      </c>
      <c r="J545" s="1">
        <v>25621</v>
      </c>
      <c r="K545" s="1">
        <v>65</v>
      </c>
      <c r="L545" s="1">
        <v>476</v>
      </c>
      <c r="M545" s="1">
        <v>31</v>
      </c>
      <c r="N545" s="1">
        <v>30033</v>
      </c>
      <c r="O545" s="1">
        <v>106</v>
      </c>
      <c r="P545" s="2">
        <f>SUM(STREAMS_STATS[[#This Row],[In Spotify Playlists]],STREAMS_STATS[[#This Row],[In Apple Playlists]],STREAMS_STATS[[#This Row],[In Deezer Playlists]],STREAMS_STATS[[#This Row],[In YouTube Playlists]])</f>
        <v>68984</v>
      </c>
      <c r="Q545" s="1">
        <v>80</v>
      </c>
      <c r="R545" s="1">
        <v>-6</v>
      </c>
      <c r="S545" s="1" t="s">
        <v>75</v>
      </c>
      <c r="T545" s="1">
        <v>62</v>
      </c>
      <c r="U545" s="1">
        <v>61</v>
      </c>
      <c r="V545" s="1">
        <v>37</v>
      </c>
      <c r="W545" s="1">
        <v>48</v>
      </c>
      <c r="X545" s="1">
        <v>231</v>
      </c>
      <c r="Y545" s="5">
        <f>STREAMS_STATS[[#This Row],[Duration]]/60</f>
        <v>3.85</v>
      </c>
      <c r="Z545" s="1">
        <v>1</v>
      </c>
      <c r="AA545" s="1">
        <v>3</v>
      </c>
      <c r="AB545" s="1">
        <v>78</v>
      </c>
    </row>
    <row r="546" spans="1:28">
      <c r="A546" t="s">
        <v>816</v>
      </c>
      <c r="B546" s="1" t="s">
        <v>132</v>
      </c>
      <c r="C546" s="1" t="s">
        <v>67</v>
      </c>
      <c r="D546" s="1">
        <v>2017</v>
      </c>
      <c r="E546" s="3">
        <v>299634472</v>
      </c>
      <c r="F546" s="3" t="str" cm="1">
        <f t="array" ref="F54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46" s="1">
        <v>2297</v>
      </c>
      <c r="H546" s="1">
        <v>360</v>
      </c>
      <c r="I546" s="1">
        <v>45</v>
      </c>
      <c r="J546" s="1">
        <v>39704</v>
      </c>
      <c r="K546" s="1">
        <v>45</v>
      </c>
      <c r="L546" s="1">
        <v>27</v>
      </c>
      <c r="M546" s="1">
        <v>15</v>
      </c>
      <c r="N546" s="1">
        <v>24053</v>
      </c>
      <c r="O546" s="1">
        <v>319</v>
      </c>
      <c r="P546" s="2">
        <f>SUM(STREAMS_STATS[[#This Row],[In Spotify Playlists]],STREAMS_STATS[[#This Row],[In Apple Playlists]],STREAMS_STATS[[#This Row],[In Deezer Playlists]],STREAMS_STATS[[#This Row],[In YouTube Playlists]])</f>
        <v>66081</v>
      </c>
      <c r="Q546" s="1">
        <v>100</v>
      </c>
      <c r="R546" s="1">
        <v>-5</v>
      </c>
      <c r="S546" s="1" t="s">
        <v>75</v>
      </c>
      <c r="T546" s="1">
        <v>82</v>
      </c>
      <c r="U546" s="1">
        <v>70</v>
      </c>
      <c r="V546" s="1">
        <v>45</v>
      </c>
      <c r="W546" s="1">
        <v>67</v>
      </c>
      <c r="X546" s="1">
        <v>218</v>
      </c>
      <c r="Y546" s="5">
        <f>STREAMS_STATS[[#This Row],[Duration]]/60</f>
        <v>3.6333333333333333</v>
      </c>
      <c r="Z546" s="1">
        <v>49</v>
      </c>
      <c r="AA546" s="1">
        <v>22</v>
      </c>
      <c r="AB546" s="1">
        <v>59</v>
      </c>
    </row>
    <row r="547" spans="1:28">
      <c r="A547" t="s">
        <v>817</v>
      </c>
      <c r="B547" s="1" t="s">
        <v>39</v>
      </c>
      <c r="C547" s="1" t="s">
        <v>115</v>
      </c>
      <c r="D547" s="1">
        <v>2011</v>
      </c>
      <c r="E547" s="3">
        <v>325592432</v>
      </c>
      <c r="F547" s="3" t="str" cm="1">
        <f t="array" ref="F54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47" s="1">
        <v>2536</v>
      </c>
      <c r="H547" s="1">
        <v>427</v>
      </c>
      <c r="I547" s="1">
        <v>183</v>
      </c>
      <c r="J547" s="1">
        <v>16806</v>
      </c>
      <c r="K547" s="1">
        <v>52</v>
      </c>
      <c r="L547" s="1">
        <v>1704</v>
      </c>
      <c r="M547" s="1">
        <v>129</v>
      </c>
      <c r="N547" s="1">
        <v>30676</v>
      </c>
      <c r="O547" s="1">
        <v>263</v>
      </c>
      <c r="P547" s="2">
        <f>SUM(STREAMS_STATS[[#This Row],[In Spotify Playlists]],STREAMS_STATS[[#This Row],[In Apple Playlists]],STREAMS_STATS[[#This Row],[In Deezer Playlists]],STREAMS_STATS[[#This Row],[In YouTube Playlists]])</f>
        <v>51722</v>
      </c>
      <c r="Q547" s="1">
        <v>128</v>
      </c>
      <c r="R547" s="1">
        <v>-4</v>
      </c>
      <c r="S547" s="1" t="s">
        <v>75</v>
      </c>
      <c r="T547" s="1">
        <v>77</v>
      </c>
      <c r="U547" s="1">
        <v>73</v>
      </c>
      <c r="V547" s="1">
        <v>11</v>
      </c>
      <c r="W547" s="1">
        <v>60</v>
      </c>
      <c r="X547" s="1">
        <v>215</v>
      </c>
      <c r="Y547" s="5">
        <f>STREAMS_STATS[[#This Row],[Duration]]/60</f>
        <v>3.5833333333333335</v>
      </c>
      <c r="Z547" s="1">
        <v>3</v>
      </c>
      <c r="AA547" s="1">
        <v>4</v>
      </c>
      <c r="AB547" s="1">
        <v>61</v>
      </c>
    </row>
    <row r="548" spans="1:28">
      <c r="A548" t="s">
        <v>818</v>
      </c>
      <c r="B548" s="1" t="s">
        <v>365</v>
      </c>
      <c r="C548" s="1" t="s">
        <v>159</v>
      </c>
      <c r="D548" s="1">
        <v>2013</v>
      </c>
      <c r="E548" s="3">
        <v>279737940</v>
      </c>
      <c r="F548" s="3" t="str" cm="1">
        <f t="array" ref="F54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48" s="1">
        <v>2066</v>
      </c>
      <c r="H548" s="1">
        <v>290</v>
      </c>
      <c r="I548" s="1">
        <v>15</v>
      </c>
      <c r="J548" s="1">
        <v>20310</v>
      </c>
      <c r="K548" s="1">
        <v>15</v>
      </c>
      <c r="L548" s="1">
        <v>7526</v>
      </c>
      <c r="M548" s="1">
        <v>43</v>
      </c>
      <c r="N548" s="1">
        <v>38027</v>
      </c>
      <c r="O548" s="1">
        <v>299</v>
      </c>
      <c r="P548" s="2">
        <f>SUM(STREAMS_STATS[[#This Row],[In Spotify Playlists]],STREAMS_STATS[[#This Row],[In Apple Playlists]],STREAMS_STATS[[#This Row],[In Deezer Playlists]],STREAMS_STATS[[#This Row],[In YouTube Playlists]])</f>
        <v>67929</v>
      </c>
      <c r="Q548" s="1">
        <v>104</v>
      </c>
      <c r="R548" s="1">
        <v>-4</v>
      </c>
      <c r="S548" s="1" t="s">
        <v>68</v>
      </c>
      <c r="T548" s="1">
        <v>94</v>
      </c>
      <c r="U548" s="1">
        <v>55</v>
      </c>
      <c r="V548" s="1">
        <v>23</v>
      </c>
      <c r="W548" s="1">
        <v>56</v>
      </c>
      <c r="X548" s="1">
        <v>206</v>
      </c>
      <c r="Y548" s="5">
        <f>STREAMS_STATS[[#This Row],[Duration]]/60</f>
        <v>3.4333333333333331</v>
      </c>
      <c r="Z548" s="1">
        <v>1</v>
      </c>
      <c r="AA548" s="1">
        <v>13</v>
      </c>
      <c r="AB548" s="1">
        <v>56</v>
      </c>
    </row>
    <row r="549" spans="1:28">
      <c r="A549" t="s">
        <v>819</v>
      </c>
      <c r="B549" s="1" t="s">
        <v>164</v>
      </c>
      <c r="C549" s="1" t="s">
        <v>67</v>
      </c>
      <c r="D549" s="1">
        <v>2011</v>
      </c>
      <c r="E549" s="3">
        <v>685071800</v>
      </c>
      <c r="F549" s="3" t="str" cm="1">
        <f t="array" ref="F54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49" s="1">
        <v>5898</v>
      </c>
      <c r="H549" s="1">
        <v>413</v>
      </c>
      <c r="I549" s="1">
        <v>124</v>
      </c>
      <c r="J549" s="1">
        <v>1178</v>
      </c>
      <c r="K549" s="1">
        <v>81</v>
      </c>
      <c r="L549" s="1">
        <v>9381</v>
      </c>
      <c r="M549" s="1">
        <v>194</v>
      </c>
      <c r="N549" s="1">
        <v>3576</v>
      </c>
      <c r="O549" s="1">
        <v>333</v>
      </c>
      <c r="P549" s="2">
        <f>SUM(STREAMS_STATS[[#This Row],[In Spotify Playlists]],STREAMS_STATS[[#This Row],[In Apple Playlists]],STREAMS_STATS[[#This Row],[In Deezer Playlists]],STREAMS_STATS[[#This Row],[In YouTube Playlists]])</f>
        <v>20033</v>
      </c>
      <c r="Q549" s="1">
        <v>120</v>
      </c>
      <c r="R549" s="1">
        <v>-5</v>
      </c>
      <c r="S549" s="1" t="s">
        <v>75</v>
      </c>
      <c r="T549" s="1">
        <v>82</v>
      </c>
      <c r="U549" s="1">
        <v>74</v>
      </c>
      <c r="V549" s="1">
        <v>12</v>
      </c>
      <c r="W549" s="1">
        <v>65</v>
      </c>
      <c r="X549" s="1">
        <v>205</v>
      </c>
      <c r="Y549" s="5">
        <f>STREAMS_STATS[[#This Row],[Duration]]/60</f>
        <v>3.4166666666666665</v>
      </c>
      <c r="Z549" s="1">
        <v>1</v>
      </c>
      <c r="AA549" s="1">
        <v>4</v>
      </c>
      <c r="AB549" s="1">
        <v>72</v>
      </c>
    </row>
    <row r="550" spans="1:28">
      <c r="A550" t="s">
        <v>820</v>
      </c>
      <c r="B550" s="1" t="s">
        <v>548</v>
      </c>
      <c r="C550" s="1" t="s">
        <v>67</v>
      </c>
      <c r="D550" s="1">
        <v>2013</v>
      </c>
      <c r="E550" s="3">
        <v>265548837</v>
      </c>
      <c r="F550" s="3" t="str" cm="1">
        <f t="array" ref="F55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50" s="1">
        <v>1963</v>
      </c>
      <c r="H550" s="1">
        <v>149</v>
      </c>
      <c r="I550" s="1">
        <v>111</v>
      </c>
      <c r="J550" s="1">
        <v>11899</v>
      </c>
      <c r="K550" s="1">
        <v>111</v>
      </c>
      <c r="L550" s="1">
        <v>151</v>
      </c>
      <c r="M550" s="1">
        <v>4</v>
      </c>
      <c r="N550" s="1">
        <v>36779</v>
      </c>
      <c r="O550" s="1">
        <v>47</v>
      </c>
      <c r="P550" s="2">
        <f>SUM(STREAMS_STATS[[#This Row],[In Spotify Playlists]],STREAMS_STATS[[#This Row],[In Apple Playlists]],STREAMS_STATS[[#This Row],[In Deezer Playlists]],STREAMS_STATS[[#This Row],[In YouTube Playlists]])</f>
        <v>50792</v>
      </c>
      <c r="Q550" s="1">
        <v>100</v>
      </c>
      <c r="R550" s="1">
        <v>-7</v>
      </c>
      <c r="S550" s="1" t="s">
        <v>68</v>
      </c>
      <c r="T550" s="1">
        <v>78</v>
      </c>
      <c r="U550" s="1">
        <v>63</v>
      </c>
      <c r="V550" s="1">
        <v>4</v>
      </c>
      <c r="W550" s="1">
        <v>28</v>
      </c>
      <c r="X550" s="1">
        <v>203</v>
      </c>
      <c r="Y550" s="5">
        <f>STREAMS_STATS[[#This Row],[Duration]]/60</f>
        <v>3.3833333333333333</v>
      </c>
      <c r="Z550" s="1">
        <v>0</v>
      </c>
      <c r="AA550" s="1">
        <v>4</v>
      </c>
      <c r="AB550" s="1">
        <v>54</v>
      </c>
    </row>
    <row r="551" spans="1:28">
      <c r="A551" t="s">
        <v>821</v>
      </c>
      <c r="B551" s="1" t="s">
        <v>169</v>
      </c>
      <c r="C551" s="1" t="s">
        <v>67</v>
      </c>
      <c r="D551" s="1">
        <v>2018</v>
      </c>
      <c r="E551" s="3">
        <v>399686758</v>
      </c>
      <c r="F551" s="3" t="str" cm="1">
        <f t="array" ref="F55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51" s="1">
        <v>3098</v>
      </c>
      <c r="H551" s="1">
        <v>290</v>
      </c>
      <c r="I551" s="1">
        <v>73</v>
      </c>
      <c r="J551" s="1">
        <v>9013</v>
      </c>
      <c r="K551" s="1">
        <v>73</v>
      </c>
      <c r="L551" s="1">
        <v>142</v>
      </c>
      <c r="M551" s="1">
        <v>49</v>
      </c>
      <c r="N551" s="1">
        <v>34255</v>
      </c>
      <c r="O551" s="1">
        <v>271</v>
      </c>
      <c r="P551" s="2">
        <f>SUM(STREAMS_STATS[[#This Row],[In Spotify Playlists]],STREAMS_STATS[[#This Row],[In Apple Playlists]],STREAMS_STATS[[#This Row],[In Deezer Playlists]],STREAMS_STATS[[#This Row],[In YouTube Playlists]])</f>
        <v>46508</v>
      </c>
      <c r="Q551" s="1">
        <v>114</v>
      </c>
      <c r="R551" s="1">
        <v>-6</v>
      </c>
      <c r="S551" s="1" t="s">
        <v>75</v>
      </c>
      <c r="T551" s="1">
        <v>59</v>
      </c>
      <c r="U551" s="1">
        <v>39</v>
      </c>
      <c r="V551" s="1">
        <v>9</v>
      </c>
      <c r="W551" s="1">
        <v>19</v>
      </c>
      <c r="X551" s="1">
        <v>272</v>
      </c>
      <c r="Y551" s="5">
        <f>STREAMS_STATS[[#This Row],[Duration]]/60</f>
        <v>4.5333333333333332</v>
      </c>
      <c r="Z551" s="1">
        <v>3</v>
      </c>
      <c r="AA551" s="1">
        <v>6</v>
      </c>
      <c r="AB551" s="1">
        <v>66</v>
      </c>
    </row>
    <row r="552" spans="1:28">
      <c r="A552" t="s">
        <v>822</v>
      </c>
      <c r="B552" s="1" t="s">
        <v>37</v>
      </c>
      <c r="C552" s="1" t="s">
        <v>134</v>
      </c>
      <c r="D552" s="1">
        <v>2015</v>
      </c>
      <c r="E552" s="3">
        <v>1309887447</v>
      </c>
      <c r="F552" s="3" t="str" cm="1">
        <f t="array" ref="F552">_xlfn.IFS(STREAMS_STATS[[#This Row],[Streams]] &gt;= 1000000000, "1B+", STREAMS_STATS[[#This Row],[Streams]] &gt;= 500000000, "500M–1B", STREAMS_STATS[[#This Row],[Streams]] &gt;= 250000000, "250M–500M", TRUE, "Under 250M")</f>
        <v>1B+</v>
      </c>
      <c r="G552" s="1">
        <v>14140</v>
      </c>
      <c r="H552" s="1">
        <v>56</v>
      </c>
      <c r="I552" s="1">
        <v>3</v>
      </c>
      <c r="J552" s="1">
        <v>29477</v>
      </c>
      <c r="K552" s="1">
        <v>3</v>
      </c>
      <c r="L552" s="1">
        <v>12</v>
      </c>
      <c r="M552" s="1">
        <v>12</v>
      </c>
      <c r="N552" s="1">
        <v>34252</v>
      </c>
      <c r="O552" s="1">
        <v>201</v>
      </c>
      <c r="P552" s="2">
        <f>SUM(STREAMS_STATS[[#This Row],[In Spotify Playlists]],STREAMS_STATS[[#This Row],[In Apple Playlists]],STREAMS_STATS[[#This Row],[In Deezer Playlists]],STREAMS_STATS[[#This Row],[In YouTube Playlists]])</f>
        <v>77881</v>
      </c>
      <c r="Q552" s="1">
        <v>125</v>
      </c>
      <c r="R552" s="1">
        <v>-8</v>
      </c>
      <c r="S552" s="1" t="s">
        <v>68</v>
      </c>
      <c r="T552" s="1">
        <v>57</v>
      </c>
      <c r="U552" s="1">
        <v>85</v>
      </c>
      <c r="V552" s="1">
        <v>8</v>
      </c>
      <c r="W552" s="1">
        <v>79</v>
      </c>
      <c r="X552" s="1">
        <v>206</v>
      </c>
      <c r="Y552" s="5">
        <f>STREAMS_STATS[[#This Row],[Duration]]/60</f>
        <v>3.4333333333333331</v>
      </c>
      <c r="Z552" s="1">
        <v>59</v>
      </c>
      <c r="AA552" s="1">
        <v>10</v>
      </c>
      <c r="AB552" s="1">
        <v>79</v>
      </c>
    </row>
    <row r="553" spans="1:28">
      <c r="A553" t="s">
        <v>823</v>
      </c>
      <c r="B553" s="1" t="s">
        <v>37</v>
      </c>
      <c r="C553" s="1" t="s">
        <v>134</v>
      </c>
      <c r="D553" s="1">
        <v>2015</v>
      </c>
      <c r="E553" s="3">
        <v>357925728</v>
      </c>
      <c r="F553" s="3" t="str" cm="1">
        <f t="array" ref="F55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53" s="1">
        <v>2800</v>
      </c>
      <c r="H553" s="1">
        <v>211</v>
      </c>
      <c r="I553" s="1">
        <v>1</v>
      </c>
      <c r="J553" s="1">
        <v>16089</v>
      </c>
      <c r="K553" s="1">
        <v>1</v>
      </c>
      <c r="L553" s="1">
        <v>15</v>
      </c>
      <c r="M553" s="1">
        <v>14</v>
      </c>
      <c r="N553" s="1">
        <v>14716</v>
      </c>
      <c r="O553" s="1">
        <v>203</v>
      </c>
      <c r="P553" s="2">
        <f>SUM(STREAMS_STATS[[#This Row],[In Spotify Playlists]],STREAMS_STATS[[#This Row],[In Apple Playlists]],STREAMS_STATS[[#This Row],[In Deezer Playlists]],STREAMS_STATS[[#This Row],[In YouTube Playlists]])</f>
        <v>33620</v>
      </c>
      <c r="Q553" s="1">
        <v>125</v>
      </c>
      <c r="R553" s="1">
        <v>-11</v>
      </c>
      <c r="S553" s="1" t="s">
        <v>68</v>
      </c>
      <c r="T553" s="1">
        <v>36</v>
      </c>
      <c r="U553" s="1">
        <v>77</v>
      </c>
      <c r="V553" s="1">
        <v>10</v>
      </c>
      <c r="W553" s="1">
        <v>76</v>
      </c>
      <c r="X553" s="1">
        <v>204</v>
      </c>
      <c r="Y553" s="5">
        <f>STREAMS_STATS[[#This Row],[Duration]]/60</f>
        <v>3.4</v>
      </c>
      <c r="Z553" s="1">
        <v>79</v>
      </c>
      <c r="AA553" s="1">
        <v>4</v>
      </c>
      <c r="AB553" s="1">
        <v>64</v>
      </c>
    </row>
    <row r="554" spans="1:28">
      <c r="A554" t="s">
        <v>824</v>
      </c>
      <c r="B554" s="1" t="s">
        <v>825</v>
      </c>
      <c r="C554" s="1" t="s">
        <v>67</v>
      </c>
      <c r="D554" s="1">
        <v>2018</v>
      </c>
      <c r="E554" s="3">
        <v>428685680</v>
      </c>
      <c r="F554" s="3" t="str" cm="1">
        <f t="array" ref="F55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54" s="1">
        <v>3328</v>
      </c>
      <c r="H554" s="1">
        <v>372</v>
      </c>
      <c r="I554" s="1">
        <v>9</v>
      </c>
      <c r="J554" s="1">
        <v>35978</v>
      </c>
      <c r="K554" s="1">
        <v>9</v>
      </c>
      <c r="L554" s="1">
        <v>100</v>
      </c>
      <c r="M554" s="1">
        <v>22</v>
      </c>
      <c r="N554" s="1">
        <v>17714</v>
      </c>
      <c r="O554" s="1">
        <v>148</v>
      </c>
      <c r="P554" s="2">
        <f>SUM(STREAMS_STATS[[#This Row],[In Spotify Playlists]],STREAMS_STATS[[#This Row],[In Apple Playlists]],STREAMS_STATS[[#This Row],[In Deezer Playlists]],STREAMS_STATS[[#This Row],[In YouTube Playlists]])</f>
        <v>57120</v>
      </c>
      <c r="Q554" s="1">
        <v>104</v>
      </c>
      <c r="R554" s="1">
        <v>-4</v>
      </c>
      <c r="S554" s="1" t="s">
        <v>75</v>
      </c>
      <c r="T554" s="1">
        <v>79</v>
      </c>
      <c r="U554" s="1">
        <v>63</v>
      </c>
      <c r="V554" s="1">
        <v>16</v>
      </c>
      <c r="W554" s="1">
        <v>41</v>
      </c>
      <c r="X554" s="1">
        <v>220</v>
      </c>
      <c r="Y554" s="5">
        <f>STREAMS_STATS[[#This Row],[Duration]]/60</f>
        <v>3.6666666666666665</v>
      </c>
      <c r="Z554" s="1">
        <v>5</v>
      </c>
      <c r="AA554" s="1">
        <v>6</v>
      </c>
      <c r="AB554" s="1">
        <v>67</v>
      </c>
    </row>
    <row r="555" spans="1:28">
      <c r="A555" t="s">
        <v>826</v>
      </c>
      <c r="B555" s="1" t="s">
        <v>32</v>
      </c>
      <c r="C555" s="1" t="s">
        <v>25</v>
      </c>
      <c r="D555" s="1">
        <v>2018</v>
      </c>
      <c r="E555" s="3">
        <v>1279434863</v>
      </c>
      <c r="F555" s="3" t="str" cm="1">
        <f t="array" ref="F555">_xlfn.IFS(STREAMS_STATS[[#This Row],[Streams]] &gt;= 1000000000, "1B+", STREAMS_STATS[[#This Row],[Streams]] &gt;= 500000000, "500M–1B", STREAMS_STATS[[#This Row],[Streams]] &gt;= 250000000, "250M–500M", TRUE, "Under 250M")</f>
        <v>1B+</v>
      </c>
      <c r="G555" s="1">
        <v>13315</v>
      </c>
      <c r="H555" s="1">
        <v>54</v>
      </c>
      <c r="I555" s="1">
        <v>55</v>
      </c>
      <c r="J555" s="1">
        <v>36126</v>
      </c>
      <c r="K555" s="1">
        <v>55</v>
      </c>
      <c r="L555" s="1">
        <v>95</v>
      </c>
      <c r="M555" s="1">
        <v>7</v>
      </c>
      <c r="N555" s="1">
        <v>9499</v>
      </c>
      <c r="O555" s="1">
        <v>267</v>
      </c>
      <c r="P555" s="2">
        <f>SUM(STREAMS_STATS[[#This Row],[In Spotify Playlists]],STREAMS_STATS[[#This Row],[In Apple Playlists]],STREAMS_STATS[[#This Row],[In Deezer Playlists]],STREAMS_STATS[[#This Row],[In YouTube Playlists]])</f>
        <v>59035</v>
      </c>
      <c r="Q555" s="1">
        <v>110</v>
      </c>
      <c r="R555" s="1">
        <v>-5</v>
      </c>
      <c r="S555" s="1" t="s">
        <v>68</v>
      </c>
      <c r="T555" s="1">
        <v>60</v>
      </c>
      <c r="U555" s="1">
        <v>80</v>
      </c>
      <c r="V555" s="1">
        <v>10</v>
      </c>
      <c r="W555" s="1">
        <v>42</v>
      </c>
      <c r="X555" s="1">
        <v>200</v>
      </c>
      <c r="Y555" s="5">
        <f>STREAMS_STATS[[#This Row],[Duration]]/60</f>
        <v>3.3333333333333335</v>
      </c>
      <c r="Z555" s="1">
        <v>8</v>
      </c>
      <c r="AA555" s="1">
        <v>6</v>
      </c>
      <c r="AB555" s="1">
        <v>85</v>
      </c>
    </row>
    <row r="556" spans="1:28">
      <c r="A556" t="s">
        <v>827</v>
      </c>
      <c r="B556" s="1" t="s">
        <v>158</v>
      </c>
      <c r="C556" s="1" t="s">
        <v>159</v>
      </c>
      <c r="D556" s="1">
        <v>2012</v>
      </c>
      <c r="E556" s="3">
        <v>1264310836</v>
      </c>
      <c r="F556" s="3" t="str" cm="1">
        <f t="array" ref="F556">_xlfn.IFS(STREAMS_STATS[[#This Row],[Streams]] &gt;= 1000000000, "1B+", STREAMS_STATS[[#This Row],[Streams]] &gt;= 500000000, "500M–1B", STREAMS_STATS[[#This Row],[Streams]] &gt;= 250000000, "250M–500M", TRUE, "Under 250M")</f>
        <v>1B+</v>
      </c>
      <c r="G556" s="1">
        <v>12985</v>
      </c>
      <c r="H556" s="1">
        <v>51</v>
      </c>
      <c r="I556" s="1">
        <v>313</v>
      </c>
      <c r="J556" s="1">
        <v>20423</v>
      </c>
      <c r="K556" s="1">
        <v>86</v>
      </c>
      <c r="L556" s="1">
        <v>7791</v>
      </c>
      <c r="M556" s="1">
        <v>143</v>
      </c>
      <c r="N556" s="1">
        <v>2521</v>
      </c>
      <c r="O556" s="1">
        <v>95</v>
      </c>
      <c r="P556" s="2">
        <f>SUM(STREAMS_STATS[[#This Row],[In Spotify Playlists]],STREAMS_STATS[[#This Row],[In Apple Playlists]],STREAMS_STATS[[#This Row],[In Deezer Playlists]],STREAMS_STATS[[#This Row],[In YouTube Playlists]])</f>
        <v>43720</v>
      </c>
      <c r="Q556" s="1">
        <v>125</v>
      </c>
      <c r="R556" s="1">
        <v>-2</v>
      </c>
      <c r="S556" s="1" t="s">
        <v>68</v>
      </c>
      <c r="T556" s="1">
        <v>79</v>
      </c>
      <c r="U556" s="1">
        <v>73</v>
      </c>
      <c r="V556" s="1">
        <v>6</v>
      </c>
      <c r="W556" s="1">
        <v>89</v>
      </c>
      <c r="X556" s="1">
        <v>200</v>
      </c>
      <c r="Y556" s="5">
        <f>STREAMS_STATS[[#This Row],[Duration]]/60</f>
        <v>3.3333333333333335</v>
      </c>
      <c r="Z556" s="1">
        <v>1</v>
      </c>
      <c r="AA556" s="1">
        <v>7</v>
      </c>
      <c r="AB556" s="1">
        <v>78</v>
      </c>
    </row>
    <row r="557" spans="1:28">
      <c r="A557" t="s">
        <v>828</v>
      </c>
      <c r="B557" s="1" t="s">
        <v>649</v>
      </c>
      <c r="C557" s="1" t="s">
        <v>134</v>
      </c>
      <c r="D557" s="1">
        <v>2011</v>
      </c>
      <c r="E557" s="3">
        <v>822239726</v>
      </c>
      <c r="F557" s="3" t="str" cm="1">
        <f t="array" ref="F557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57" s="1">
        <v>7324</v>
      </c>
      <c r="H557" s="1">
        <v>136</v>
      </c>
      <c r="I557" s="1">
        <v>61</v>
      </c>
      <c r="J557" s="1">
        <v>1209</v>
      </c>
      <c r="K557" s="1">
        <v>61</v>
      </c>
      <c r="L557" s="1">
        <v>1723</v>
      </c>
      <c r="M557" s="1">
        <v>146</v>
      </c>
      <c r="N557" s="1">
        <v>26213</v>
      </c>
      <c r="O557" s="1">
        <v>179</v>
      </c>
      <c r="P557" s="2">
        <f>SUM(STREAMS_STATS[[#This Row],[In Spotify Playlists]],STREAMS_STATS[[#This Row],[In Apple Playlists]],STREAMS_STATS[[#This Row],[In Deezer Playlists]],STREAMS_STATS[[#This Row],[In YouTube Playlists]])</f>
        <v>36469</v>
      </c>
      <c r="Q557" s="1">
        <v>150</v>
      </c>
      <c r="R557" s="1">
        <v>-4</v>
      </c>
      <c r="S557" s="1" t="s">
        <v>68</v>
      </c>
      <c r="T557" s="1">
        <v>93</v>
      </c>
      <c r="U557" s="1">
        <v>58</v>
      </c>
      <c r="V557" s="1">
        <v>14</v>
      </c>
      <c r="W557" s="1">
        <v>88</v>
      </c>
      <c r="X557" s="1">
        <v>221</v>
      </c>
      <c r="Y557" s="5">
        <f>STREAMS_STATS[[#This Row],[Duration]]/60</f>
        <v>3.6833333333333331</v>
      </c>
      <c r="Z557" s="1">
        <v>0</v>
      </c>
      <c r="AA557" s="1">
        <v>5</v>
      </c>
      <c r="AB557" s="1">
        <v>74</v>
      </c>
    </row>
    <row r="558" spans="1:28">
      <c r="A558" t="s">
        <v>829</v>
      </c>
      <c r="B558" s="1" t="s">
        <v>429</v>
      </c>
      <c r="C558" s="1" t="s">
        <v>144</v>
      </c>
      <c r="D558" s="1">
        <v>2010</v>
      </c>
      <c r="E558" s="3">
        <v>422691058</v>
      </c>
      <c r="F558" s="3" t="str" cm="1">
        <f t="array" ref="F55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58" s="1">
        <v>3299</v>
      </c>
      <c r="H558" s="1">
        <v>207</v>
      </c>
      <c r="I558" s="1">
        <v>235</v>
      </c>
      <c r="J558" s="1">
        <v>34082</v>
      </c>
      <c r="K558" s="1">
        <v>60</v>
      </c>
      <c r="L558" s="1">
        <v>1712</v>
      </c>
      <c r="M558" s="1">
        <v>162</v>
      </c>
      <c r="N558" s="1">
        <v>12317</v>
      </c>
      <c r="O558" s="1">
        <v>396</v>
      </c>
      <c r="P558" s="2">
        <f>SUM(STREAMS_STATS[[#This Row],[In Spotify Playlists]],STREAMS_STATS[[#This Row],[In Apple Playlists]],STREAMS_STATS[[#This Row],[In Deezer Playlists]],STREAMS_STATS[[#This Row],[In YouTube Playlists]])</f>
        <v>51410</v>
      </c>
      <c r="Q558" s="1">
        <v>186</v>
      </c>
      <c r="R558" s="1">
        <v>-5</v>
      </c>
      <c r="S558" s="1" t="s">
        <v>68</v>
      </c>
      <c r="T558" s="1">
        <v>68</v>
      </c>
      <c r="U558" s="1">
        <v>44</v>
      </c>
      <c r="V558" s="1">
        <v>6</v>
      </c>
      <c r="W558" s="1">
        <v>45</v>
      </c>
      <c r="X558" s="1">
        <v>227</v>
      </c>
      <c r="Y558" s="5">
        <f>STREAMS_STATS[[#This Row],[Duration]]/60</f>
        <v>3.7833333333333332</v>
      </c>
      <c r="Z558" s="1">
        <v>1</v>
      </c>
      <c r="AA558" s="1">
        <v>5</v>
      </c>
      <c r="AB558" s="1">
        <v>66</v>
      </c>
    </row>
    <row r="559" spans="1:28">
      <c r="A559" t="s">
        <v>830</v>
      </c>
      <c r="B559" s="1" t="s">
        <v>39</v>
      </c>
      <c r="C559" s="1" t="s">
        <v>115</v>
      </c>
      <c r="D559" s="1">
        <v>2011</v>
      </c>
      <c r="E559" s="3">
        <v>518745108</v>
      </c>
      <c r="F559" s="3" t="str" cm="1">
        <f t="array" ref="F55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59" s="1">
        <v>4204</v>
      </c>
      <c r="H559" s="1">
        <v>179</v>
      </c>
      <c r="I559" s="1">
        <v>192</v>
      </c>
      <c r="J559" s="1">
        <v>38456</v>
      </c>
      <c r="K559" s="1">
        <v>93</v>
      </c>
      <c r="L559" s="1">
        <v>6204</v>
      </c>
      <c r="M559" s="1">
        <v>191</v>
      </c>
      <c r="N559" s="1">
        <v>3093</v>
      </c>
      <c r="O559" s="1">
        <v>65</v>
      </c>
      <c r="P559" s="2">
        <f>SUM(STREAMS_STATS[[#This Row],[In Spotify Playlists]],STREAMS_STATS[[#This Row],[In Apple Playlists]],STREAMS_STATS[[#This Row],[In Deezer Playlists]],STREAMS_STATS[[#This Row],[In YouTube Playlists]])</f>
        <v>51957</v>
      </c>
      <c r="Q559" s="1">
        <v>100</v>
      </c>
      <c r="R559" s="1">
        <v>-3</v>
      </c>
      <c r="S559" s="1" t="s">
        <v>68</v>
      </c>
      <c r="T559" s="1">
        <v>79</v>
      </c>
      <c r="U559" s="1">
        <v>69</v>
      </c>
      <c r="V559" s="1">
        <v>8</v>
      </c>
      <c r="W559" s="1">
        <v>58</v>
      </c>
      <c r="X559" s="1">
        <v>263</v>
      </c>
      <c r="Y559" s="5">
        <f>STREAMS_STATS[[#This Row],[Duration]]/60</f>
        <v>4.3833333333333337</v>
      </c>
      <c r="Z559" s="1">
        <v>23</v>
      </c>
      <c r="AA559" s="1">
        <v>7</v>
      </c>
      <c r="AB559" s="1">
        <v>69</v>
      </c>
    </row>
    <row r="560" spans="1:28">
      <c r="A560" t="s">
        <v>831</v>
      </c>
      <c r="B560" s="1" t="s">
        <v>36</v>
      </c>
      <c r="C560" s="1" t="s">
        <v>107</v>
      </c>
      <c r="D560" s="1">
        <v>2016</v>
      </c>
      <c r="E560" s="3">
        <v>290833204</v>
      </c>
      <c r="F560" s="3" t="str" cm="1">
        <f t="array" ref="F560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0" s="1">
        <v>2209</v>
      </c>
      <c r="H560" s="1">
        <v>245</v>
      </c>
      <c r="I560" s="1">
        <v>9</v>
      </c>
      <c r="J560" s="1">
        <v>19993</v>
      </c>
      <c r="K560" s="1">
        <v>9</v>
      </c>
      <c r="L560" s="1">
        <v>16</v>
      </c>
      <c r="M560" s="1">
        <v>6</v>
      </c>
      <c r="N560" s="1">
        <v>26993</v>
      </c>
      <c r="O560" s="1">
        <v>222</v>
      </c>
      <c r="P560" s="2">
        <f>SUM(STREAMS_STATS[[#This Row],[In Spotify Playlists]],STREAMS_STATS[[#This Row],[In Apple Playlists]],STREAMS_STATS[[#This Row],[In Deezer Playlists]],STREAMS_STATS[[#This Row],[In YouTube Playlists]])</f>
        <v>49211</v>
      </c>
      <c r="Q560" s="1">
        <v>144</v>
      </c>
      <c r="R560" s="1">
        <v>-6</v>
      </c>
      <c r="S560" s="1" t="s">
        <v>75</v>
      </c>
      <c r="T560" s="1">
        <v>59</v>
      </c>
      <c r="U560" s="1">
        <v>38</v>
      </c>
      <c r="V560" s="1">
        <v>9</v>
      </c>
      <c r="W560" s="1">
        <v>27</v>
      </c>
      <c r="X560" s="1">
        <v>291</v>
      </c>
      <c r="Y560" s="5">
        <f>STREAMS_STATS[[#This Row],[Duration]]/60</f>
        <v>4.8499999999999996</v>
      </c>
      <c r="Z560" s="1">
        <v>35</v>
      </c>
      <c r="AA560" s="1">
        <v>5</v>
      </c>
      <c r="AB560" s="1">
        <v>58</v>
      </c>
    </row>
    <row r="561" spans="1:28">
      <c r="A561" t="s">
        <v>832</v>
      </c>
      <c r="B561" s="1" t="s">
        <v>39</v>
      </c>
      <c r="C561" s="1" t="s">
        <v>115</v>
      </c>
      <c r="D561" s="1">
        <v>2012</v>
      </c>
      <c r="E561" s="3">
        <v>480507035</v>
      </c>
      <c r="F561" s="3" t="str" cm="1">
        <f t="array" ref="F56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1" s="1">
        <v>3794</v>
      </c>
      <c r="H561" s="1">
        <v>264</v>
      </c>
      <c r="I561" s="1">
        <v>141</v>
      </c>
      <c r="J561" s="1">
        <v>14362</v>
      </c>
      <c r="K561" s="1">
        <v>85</v>
      </c>
      <c r="L561" s="1">
        <v>5149</v>
      </c>
      <c r="M561" s="1">
        <v>139</v>
      </c>
      <c r="N561" s="1">
        <v>3154</v>
      </c>
      <c r="O561" s="1">
        <v>374</v>
      </c>
      <c r="P561" s="2">
        <f>SUM(STREAMS_STATS[[#This Row],[In Spotify Playlists]],STREAMS_STATS[[#This Row],[In Apple Playlists]],STREAMS_STATS[[#This Row],[In Deezer Playlists]],STREAMS_STATS[[#This Row],[In YouTube Playlists]])</f>
        <v>26459</v>
      </c>
      <c r="Q561" s="1">
        <v>128</v>
      </c>
      <c r="R561" s="1">
        <v>-6</v>
      </c>
      <c r="S561" s="1" t="s">
        <v>75</v>
      </c>
      <c r="T561" s="1">
        <v>85</v>
      </c>
      <c r="U561" s="1">
        <v>72</v>
      </c>
      <c r="V561" s="1">
        <v>22</v>
      </c>
      <c r="W561" s="1">
        <v>44</v>
      </c>
      <c r="X561" s="1">
        <v>243</v>
      </c>
      <c r="Y561" s="5">
        <f>STREAMS_STATS[[#This Row],[Duration]]/60</f>
        <v>4.05</v>
      </c>
      <c r="Z561" s="1">
        <v>0</v>
      </c>
      <c r="AA561" s="1">
        <v>9</v>
      </c>
      <c r="AB561" s="1">
        <v>68</v>
      </c>
    </row>
    <row r="562" spans="1:28">
      <c r="A562" t="s">
        <v>833</v>
      </c>
      <c r="B562" s="1" t="s">
        <v>112</v>
      </c>
      <c r="C562" s="1" t="s">
        <v>67</v>
      </c>
      <c r="D562" s="1">
        <v>2016</v>
      </c>
      <c r="E562" s="3">
        <v>403231558</v>
      </c>
      <c r="F562" s="3" t="str" cm="1">
        <f t="array" ref="F56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2" s="1">
        <v>3113</v>
      </c>
      <c r="H562" s="1">
        <v>361</v>
      </c>
      <c r="I562" s="1">
        <v>96</v>
      </c>
      <c r="J562" s="1">
        <v>7734</v>
      </c>
      <c r="K562" s="1">
        <v>96</v>
      </c>
      <c r="L562" s="1">
        <v>790</v>
      </c>
      <c r="M562" s="1">
        <v>2</v>
      </c>
      <c r="N562" s="1">
        <v>6843</v>
      </c>
      <c r="O562" s="1">
        <v>22</v>
      </c>
      <c r="P562" s="2">
        <f>SUM(STREAMS_STATS[[#This Row],[In Spotify Playlists]],STREAMS_STATS[[#This Row],[In Apple Playlists]],STREAMS_STATS[[#This Row],[In Deezer Playlists]],STREAMS_STATS[[#This Row],[In YouTube Playlists]])</f>
        <v>18480</v>
      </c>
      <c r="Q562" s="1">
        <v>100</v>
      </c>
      <c r="R562" s="1">
        <v>-6</v>
      </c>
      <c r="S562" s="1" t="s">
        <v>68</v>
      </c>
      <c r="T562" s="1">
        <v>69</v>
      </c>
      <c r="U562" s="1">
        <v>55</v>
      </c>
      <c r="V562" s="1">
        <v>27</v>
      </c>
      <c r="W562" s="1">
        <v>35</v>
      </c>
      <c r="X562" s="1">
        <v>170</v>
      </c>
      <c r="Y562" s="5">
        <f>STREAMS_STATS[[#This Row],[Duration]]/60</f>
        <v>2.8333333333333335</v>
      </c>
      <c r="Z562" s="1">
        <v>9</v>
      </c>
      <c r="AA562" s="1">
        <v>4</v>
      </c>
      <c r="AB562" s="1">
        <v>66</v>
      </c>
    </row>
    <row r="563" spans="1:28">
      <c r="A563" t="s">
        <v>834</v>
      </c>
      <c r="B563" s="1" t="s">
        <v>162</v>
      </c>
      <c r="C563" s="1" t="s">
        <v>67</v>
      </c>
      <c r="D563" s="1">
        <v>2012</v>
      </c>
      <c r="E563" s="3">
        <v>479655659</v>
      </c>
      <c r="F563" s="3" t="str" cm="1">
        <f t="array" ref="F56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3" s="1">
        <v>3788</v>
      </c>
      <c r="H563" s="1">
        <v>104</v>
      </c>
      <c r="I563" s="1">
        <v>90</v>
      </c>
      <c r="J563" s="1">
        <v>24849</v>
      </c>
      <c r="K563" s="1">
        <v>62</v>
      </c>
      <c r="L563" s="1">
        <v>8099</v>
      </c>
      <c r="M563" s="1">
        <v>132</v>
      </c>
      <c r="N563" s="1">
        <v>24117</v>
      </c>
      <c r="O563" s="1">
        <v>164</v>
      </c>
      <c r="P563" s="2">
        <f>SUM(STREAMS_STATS[[#This Row],[In Spotify Playlists]],STREAMS_STATS[[#This Row],[In Apple Playlists]],STREAMS_STATS[[#This Row],[In Deezer Playlists]],STREAMS_STATS[[#This Row],[In YouTube Playlists]])</f>
        <v>60853</v>
      </c>
      <c r="Q563" s="1">
        <v>160</v>
      </c>
      <c r="R563" s="1">
        <v>-5</v>
      </c>
      <c r="S563" s="1" t="s">
        <v>75</v>
      </c>
      <c r="T563" s="1">
        <v>68</v>
      </c>
      <c r="U563" s="1">
        <v>51</v>
      </c>
      <c r="V563" s="1">
        <v>39</v>
      </c>
      <c r="W563" s="1">
        <v>57</v>
      </c>
      <c r="X563" s="1">
        <v>221</v>
      </c>
      <c r="Y563" s="5">
        <f>STREAMS_STATS[[#This Row],[Duration]]/60</f>
        <v>3.6833333333333331</v>
      </c>
      <c r="Z563" s="1">
        <v>7</v>
      </c>
      <c r="AA563" s="1">
        <v>4</v>
      </c>
      <c r="AB563" s="1">
        <v>68</v>
      </c>
    </row>
    <row r="564" spans="1:28">
      <c r="A564" t="s">
        <v>835</v>
      </c>
      <c r="B564" s="1" t="s">
        <v>743</v>
      </c>
      <c r="C564" s="1" t="s">
        <v>67</v>
      </c>
      <c r="D564" s="1">
        <v>2014</v>
      </c>
      <c r="E564" s="3">
        <v>445590495</v>
      </c>
      <c r="F564" s="3" t="str" cm="1">
        <f t="array" ref="F56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4" s="1">
        <v>3469</v>
      </c>
      <c r="H564" s="1">
        <v>196</v>
      </c>
      <c r="I564" s="1">
        <v>15</v>
      </c>
      <c r="J564" s="1">
        <v>4007</v>
      </c>
      <c r="K564" s="1">
        <v>15</v>
      </c>
      <c r="L564" s="1">
        <v>10</v>
      </c>
      <c r="M564" s="1">
        <v>17</v>
      </c>
      <c r="N564" s="1">
        <v>5384</v>
      </c>
      <c r="O564" s="1">
        <v>352</v>
      </c>
      <c r="P564" s="2">
        <f>SUM(STREAMS_STATS[[#This Row],[In Spotify Playlists]],STREAMS_STATS[[#This Row],[In Apple Playlists]],STREAMS_STATS[[#This Row],[In Deezer Playlists]],STREAMS_STATS[[#This Row],[In YouTube Playlists]])</f>
        <v>12870</v>
      </c>
      <c r="Q564" s="1">
        <v>82</v>
      </c>
      <c r="R564" s="1">
        <v>-7</v>
      </c>
      <c r="S564" s="1" t="s">
        <v>68</v>
      </c>
      <c r="T564" s="1">
        <v>62</v>
      </c>
      <c r="U564" s="1">
        <v>70</v>
      </c>
      <c r="V564" s="1">
        <v>16</v>
      </c>
      <c r="W564" s="1">
        <v>72</v>
      </c>
      <c r="X564" s="1">
        <v>193</v>
      </c>
      <c r="Y564" s="5">
        <f>STREAMS_STATS[[#This Row],[Duration]]/60</f>
        <v>3.2166666666666668</v>
      </c>
      <c r="Z564" s="1">
        <v>8</v>
      </c>
      <c r="AA564" s="1">
        <v>25</v>
      </c>
      <c r="AB564" s="1">
        <v>67</v>
      </c>
    </row>
    <row r="565" spans="1:28">
      <c r="A565" t="s">
        <v>836</v>
      </c>
      <c r="B565" s="1" t="s">
        <v>435</v>
      </c>
      <c r="C565" s="1" t="s">
        <v>67</v>
      </c>
      <c r="D565" s="1">
        <v>2018</v>
      </c>
      <c r="E565" s="3">
        <v>920797189</v>
      </c>
      <c r="F565" s="3" t="str" cm="1">
        <f t="array" ref="F565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65" s="1">
        <v>8327</v>
      </c>
      <c r="H565" s="1">
        <v>81</v>
      </c>
      <c r="I565" s="1">
        <v>1</v>
      </c>
      <c r="J565" s="1">
        <v>23144</v>
      </c>
      <c r="K565" s="1">
        <v>52</v>
      </c>
      <c r="L565" s="1">
        <v>291</v>
      </c>
      <c r="M565" s="1">
        <v>6</v>
      </c>
      <c r="N565" s="1">
        <v>16034</v>
      </c>
      <c r="O565" s="1">
        <v>386</v>
      </c>
      <c r="P565" s="2">
        <f>SUM(STREAMS_STATS[[#This Row],[In Spotify Playlists]],STREAMS_STATS[[#This Row],[In Apple Playlists]],STREAMS_STATS[[#This Row],[In Deezer Playlists]],STREAMS_STATS[[#This Row],[In YouTube Playlists]])</f>
        <v>47796</v>
      </c>
      <c r="Q565" s="1">
        <v>98</v>
      </c>
      <c r="R565" s="1">
        <v>-3</v>
      </c>
      <c r="S565" s="1" t="s">
        <v>75</v>
      </c>
      <c r="T565" s="1">
        <v>67</v>
      </c>
      <c r="U565" s="1">
        <v>67</v>
      </c>
      <c r="V565" s="1">
        <v>12</v>
      </c>
      <c r="W565" s="1">
        <v>63</v>
      </c>
      <c r="X565" s="1">
        <v>204</v>
      </c>
      <c r="Y565" s="5">
        <f>STREAMS_STATS[[#This Row],[Duration]]/60</f>
        <v>3.4</v>
      </c>
      <c r="Z565" s="1">
        <v>3</v>
      </c>
      <c r="AA565" s="1">
        <v>7</v>
      </c>
      <c r="AB565" s="1">
        <v>76</v>
      </c>
    </row>
    <row r="566" spans="1:28">
      <c r="A566" t="s">
        <v>837</v>
      </c>
      <c r="B566" s="1" t="s">
        <v>459</v>
      </c>
      <c r="C566" s="1" t="s">
        <v>110</v>
      </c>
      <c r="D566" s="1">
        <v>2014</v>
      </c>
      <c r="E566" s="3">
        <v>333146475</v>
      </c>
      <c r="F566" s="3" t="str" cm="1">
        <f t="array" ref="F56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6" s="1">
        <v>2585</v>
      </c>
      <c r="H566" s="1">
        <v>396</v>
      </c>
      <c r="I566" s="1">
        <v>160</v>
      </c>
      <c r="J566" s="1">
        <v>31969</v>
      </c>
      <c r="K566" s="1">
        <v>160</v>
      </c>
      <c r="L566" s="2">
        <v>6284</v>
      </c>
      <c r="M566" s="1">
        <v>1</v>
      </c>
      <c r="N566" s="1">
        <v>21130</v>
      </c>
      <c r="O566" s="1">
        <v>47</v>
      </c>
      <c r="P566" s="2">
        <f>SUM(STREAMS_STATS[[#This Row],[In Spotify Playlists]],STREAMS_STATS[[#This Row],[In Apple Playlists]],STREAMS_STATS[[#This Row],[In Deezer Playlists]],STREAMS_STATS[[#This Row],[In YouTube Playlists]])</f>
        <v>61968</v>
      </c>
      <c r="Q566" s="1">
        <v>83</v>
      </c>
      <c r="R566" s="1">
        <v>-5</v>
      </c>
      <c r="S566" s="1" t="s">
        <v>68</v>
      </c>
      <c r="T566" s="1">
        <v>71</v>
      </c>
      <c r="U566" s="1">
        <v>47</v>
      </c>
      <c r="V566" s="1">
        <v>16</v>
      </c>
      <c r="W566" s="1">
        <v>22</v>
      </c>
      <c r="X566" s="1">
        <v>252</v>
      </c>
      <c r="Y566" s="5">
        <f>STREAMS_STATS[[#This Row],[Duration]]/60</f>
        <v>4.2</v>
      </c>
      <c r="Z566" s="1">
        <v>8</v>
      </c>
      <c r="AA566" s="1">
        <v>3</v>
      </c>
      <c r="AB566" s="1">
        <v>62</v>
      </c>
    </row>
    <row r="567" spans="1:28">
      <c r="A567" t="s">
        <v>838</v>
      </c>
      <c r="B567" s="1" t="s">
        <v>286</v>
      </c>
      <c r="C567" s="1" t="s">
        <v>287</v>
      </c>
      <c r="D567" s="1">
        <v>2016</v>
      </c>
      <c r="E567" s="3">
        <v>284908316</v>
      </c>
      <c r="F567" s="3" t="str" cm="1">
        <f t="array" ref="F56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7" s="1">
        <v>2127</v>
      </c>
      <c r="H567" s="1">
        <v>311</v>
      </c>
      <c r="I567" s="1">
        <v>36</v>
      </c>
      <c r="J567" s="1">
        <v>25949</v>
      </c>
      <c r="K567" s="1">
        <v>36</v>
      </c>
      <c r="L567" s="1">
        <v>46</v>
      </c>
      <c r="M567" s="1">
        <v>13</v>
      </c>
      <c r="N567" s="1">
        <v>24338</v>
      </c>
      <c r="O567" s="1">
        <v>209</v>
      </c>
      <c r="P567" s="2">
        <f>SUM(STREAMS_STATS[[#This Row],[In Spotify Playlists]],STREAMS_STATS[[#This Row],[In Apple Playlists]],STREAMS_STATS[[#This Row],[In Deezer Playlists]],STREAMS_STATS[[#This Row],[In YouTube Playlists]])</f>
        <v>52460</v>
      </c>
      <c r="Q567" s="1">
        <v>94</v>
      </c>
      <c r="R567" s="1">
        <v>-6</v>
      </c>
      <c r="S567" s="1" t="s">
        <v>68</v>
      </c>
      <c r="T567" s="1">
        <v>57</v>
      </c>
      <c r="U567" s="1">
        <v>37</v>
      </c>
      <c r="V567" s="1">
        <v>13</v>
      </c>
      <c r="W567" s="1">
        <v>12</v>
      </c>
      <c r="X567" s="1">
        <v>403</v>
      </c>
      <c r="Y567" s="5">
        <f>STREAMS_STATS[[#This Row],[Duration]]/60</f>
        <v>6.7166666666666668</v>
      </c>
      <c r="Z567" s="1">
        <v>72</v>
      </c>
      <c r="AA567" s="1">
        <v>3</v>
      </c>
      <c r="AB567" s="1">
        <v>57</v>
      </c>
    </row>
    <row r="568" spans="1:28">
      <c r="A568" t="s">
        <v>839</v>
      </c>
      <c r="B568" s="1" t="s">
        <v>81</v>
      </c>
      <c r="C568" s="1" t="s">
        <v>67</v>
      </c>
      <c r="D568" s="1">
        <v>2011</v>
      </c>
      <c r="E568" s="3">
        <v>481697415</v>
      </c>
      <c r="F568" s="3" t="str" cm="1">
        <f t="array" ref="F56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68" s="1">
        <v>3818</v>
      </c>
      <c r="H568" s="1">
        <v>376</v>
      </c>
      <c r="I568" s="1">
        <v>64</v>
      </c>
      <c r="J568" s="1">
        <v>29833</v>
      </c>
      <c r="K568" s="1">
        <v>88</v>
      </c>
      <c r="L568" s="1">
        <v>4906</v>
      </c>
      <c r="M568" s="1">
        <v>114</v>
      </c>
      <c r="N568" s="1">
        <v>6726</v>
      </c>
      <c r="O568" s="1">
        <v>155</v>
      </c>
      <c r="P568" s="2">
        <f>SUM(STREAMS_STATS[[#This Row],[In Spotify Playlists]],STREAMS_STATS[[#This Row],[In Apple Playlists]],STREAMS_STATS[[#This Row],[In Deezer Playlists]],STREAMS_STATS[[#This Row],[In YouTube Playlists]])</f>
        <v>45283</v>
      </c>
      <c r="Q568" s="1">
        <v>128</v>
      </c>
      <c r="R568" s="1">
        <v>-4</v>
      </c>
      <c r="S568" s="1" t="s">
        <v>68</v>
      </c>
      <c r="T568" s="1">
        <v>61</v>
      </c>
      <c r="U568" s="1">
        <v>61</v>
      </c>
      <c r="V568" s="1">
        <v>16</v>
      </c>
      <c r="W568" s="1">
        <v>40</v>
      </c>
      <c r="X568" s="1">
        <v>208</v>
      </c>
      <c r="Y568" s="5">
        <f>STREAMS_STATS[[#This Row],[Duration]]/60</f>
        <v>3.4666666666666668</v>
      </c>
      <c r="Z568" s="1">
        <v>23</v>
      </c>
      <c r="AA568" s="1">
        <v>3</v>
      </c>
      <c r="AB568" s="1">
        <v>68</v>
      </c>
    </row>
    <row r="569" spans="1:28">
      <c r="A569" t="s">
        <v>840</v>
      </c>
      <c r="B569" s="1" t="s">
        <v>140</v>
      </c>
      <c r="C569" s="1" t="s">
        <v>67</v>
      </c>
      <c r="D569" s="1">
        <v>2018</v>
      </c>
      <c r="E569" s="3">
        <v>1806617704</v>
      </c>
      <c r="F569" s="3" t="str" cm="1">
        <f t="array" ref="F569">_xlfn.IFS(STREAMS_STATS[[#This Row],[Streams]] &gt;= 1000000000, "1B+", STREAMS_STATS[[#This Row],[Streams]] &gt;= 500000000, "500M–1B", STREAMS_STATS[[#This Row],[Streams]] &gt;= 250000000, "250M–500M", TRUE, "Under 250M")</f>
        <v>1B+</v>
      </c>
      <c r="G569" s="1">
        <v>23375</v>
      </c>
      <c r="H569" s="1">
        <v>18</v>
      </c>
      <c r="I569" s="1">
        <v>82</v>
      </c>
      <c r="J569" s="1">
        <v>23252</v>
      </c>
      <c r="K569" s="1">
        <v>82</v>
      </c>
      <c r="L569" s="1">
        <v>531</v>
      </c>
      <c r="M569" s="1">
        <v>1</v>
      </c>
      <c r="N569" s="1">
        <v>9845</v>
      </c>
      <c r="O569" s="1">
        <v>380</v>
      </c>
      <c r="P569" s="2">
        <f>SUM(STREAMS_STATS[[#This Row],[In Spotify Playlists]],STREAMS_STATS[[#This Row],[In Apple Playlists]],STREAMS_STATS[[#This Row],[In Deezer Playlists]],STREAMS_STATS[[#This Row],[In YouTube Playlists]])</f>
        <v>57003</v>
      </c>
      <c r="Q569" s="1">
        <v>125</v>
      </c>
      <c r="R569" s="1">
        <v>-5</v>
      </c>
      <c r="S569" s="1" t="s">
        <v>68</v>
      </c>
      <c r="T569" s="1">
        <v>80</v>
      </c>
      <c r="U569" s="1">
        <v>72</v>
      </c>
      <c r="V569" s="1">
        <v>20</v>
      </c>
      <c r="W569" s="1">
        <v>31</v>
      </c>
      <c r="X569" s="1">
        <v>198</v>
      </c>
      <c r="Y569" s="5">
        <f>STREAMS_STATS[[#This Row],[Duration]]/60</f>
        <v>3.3</v>
      </c>
      <c r="Z569" s="1">
        <v>12</v>
      </c>
      <c r="AA569" s="1">
        <v>4</v>
      </c>
      <c r="AB569" s="1">
        <v>83</v>
      </c>
    </row>
    <row r="570" spans="1:28">
      <c r="A570" t="s">
        <v>841</v>
      </c>
      <c r="B570" s="1" t="s">
        <v>459</v>
      </c>
      <c r="C570" s="1" t="s">
        <v>110</v>
      </c>
      <c r="D570" s="1">
        <v>2014</v>
      </c>
      <c r="E570" s="3">
        <v>229497852</v>
      </c>
      <c r="F570" s="3" t="str" cm="1">
        <f t="array" ref="F57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70" s="1">
        <v>1608</v>
      </c>
      <c r="H570" s="1">
        <v>300</v>
      </c>
      <c r="I570" s="1">
        <v>67</v>
      </c>
      <c r="J570" s="1">
        <v>1073</v>
      </c>
      <c r="K570" s="1">
        <v>65</v>
      </c>
      <c r="L570" s="1">
        <v>32</v>
      </c>
      <c r="M570" s="1">
        <v>1</v>
      </c>
      <c r="N570" s="1">
        <v>12410</v>
      </c>
      <c r="O570" s="1">
        <v>287</v>
      </c>
      <c r="P570" s="2">
        <f>SUM(STREAMS_STATS[[#This Row],[In Spotify Playlists]],STREAMS_STATS[[#This Row],[In Apple Playlists]],STREAMS_STATS[[#This Row],[In Deezer Playlists]],STREAMS_STATS[[#This Row],[In YouTube Playlists]])</f>
        <v>15123</v>
      </c>
      <c r="Q570" s="1">
        <v>120</v>
      </c>
      <c r="R570" s="1">
        <v>-9</v>
      </c>
      <c r="S570" s="1" t="s">
        <v>68</v>
      </c>
      <c r="T570" s="1">
        <v>35</v>
      </c>
      <c r="U570" s="1">
        <v>53</v>
      </c>
      <c r="V570" s="1">
        <v>14</v>
      </c>
      <c r="W570" s="1">
        <v>19</v>
      </c>
      <c r="X570" s="1">
        <v>239</v>
      </c>
      <c r="Y570" s="5">
        <f>STREAMS_STATS[[#This Row],[Duration]]/60</f>
        <v>3.9833333333333334</v>
      </c>
      <c r="Z570" s="1">
        <v>28</v>
      </c>
      <c r="AA570" s="1">
        <v>3</v>
      </c>
      <c r="AB570" s="1">
        <v>44</v>
      </c>
    </row>
    <row r="571" spans="1:28">
      <c r="A571" t="s">
        <v>842</v>
      </c>
      <c r="B571" s="1" t="s">
        <v>39</v>
      </c>
      <c r="C571" s="1" t="s">
        <v>115</v>
      </c>
      <c r="D571" s="1">
        <v>2016</v>
      </c>
      <c r="E571" s="3">
        <v>1223481149</v>
      </c>
      <c r="F571" s="3" t="str" cm="1">
        <f t="array" ref="F571">_xlfn.IFS(STREAMS_STATS[[#This Row],[Streams]] &gt;= 1000000000, "1B+", STREAMS_STATS[[#This Row],[Streams]] &gt;= 500000000, "500M–1B", STREAMS_STATS[[#This Row],[Streams]] &gt;= 250000000, "250M–500M", TRUE, "Under 250M")</f>
        <v>1B+</v>
      </c>
      <c r="G571" s="1">
        <v>12353</v>
      </c>
      <c r="H571" s="1">
        <v>72</v>
      </c>
      <c r="I571" s="1">
        <v>9</v>
      </c>
      <c r="J571" s="1">
        <v>25069</v>
      </c>
      <c r="K571" s="1">
        <v>9</v>
      </c>
      <c r="L571" s="1">
        <v>3</v>
      </c>
      <c r="M571" s="1">
        <v>18</v>
      </c>
      <c r="N571" s="1">
        <v>28622</v>
      </c>
      <c r="O571" s="1">
        <v>247</v>
      </c>
      <c r="P571" s="2">
        <f>SUM(STREAMS_STATS[[#This Row],[In Spotify Playlists]],STREAMS_STATS[[#This Row],[In Apple Playlists]],STREAMS_STATS[[#This Row],[In Deezer Playlists]],STREAMS_STATS[[#This Row],[In YouTube Playlists]])</f>
        <v>66047</v>
      </c>
      <c r="Q571" s="1">
        <v>92</v>
      </c>
      <c r="R571" s="1">
        <v>-6</v>
      </c>
      <c r="S571" s="1" t="s">
        <v>68</v>
      </c>
      <c r="T571" s="1">
        <v>53</v>
      </c>
      <c r="U571" s="1">
        <v>73</v>
      </c>
      <c r="V571" s="1">
        <v>9</v>
      </c>
      <c r="W571" s="1">
        <v>56</v>
      </c>
      <c r="X571" s="1">
        <v>219</v>
      </c>
      <c r="Y571" s="5">
        <f>STREAMS_STATS[[#This Row],[Duration]]/60</f>
        <v>3.65</v>
      </c>
      <c r="Z571" s="1">
        <v>8</v>
      </c>
      <c r="AA571" s="1">
        <v>9</v>
      </c>
      <c r="AB571" s="1">
        <v>78</v>
      </c>
    </row>
    <row r="572" spans="1:28">
      <c r="A572" t="s">
        <v>843</v>
      </c>
      <c r="B572" s="1" t="s">
        <v>66</v>
      </c>
      <c r="C572" s="1" t="s">
        <v>67</v>
      </c>
      <c r="D572" s="1">
        <v>2013</v>
      </c>
      <c r="E572" s="3">
        <v>607123776</v>
      </c>
      <c r="F572" s="3" t="str" cm="1">
        <f t="array" ref="F572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72" s="1">
        <v>4942</v>
      </c>
      <c r="H572" s="1">
        <v>306</v>
      </c>
      <c r="I572" s="1">
        <v>17</v>
      </c>
      <c r="J572" s="1">
        <v>32112</v>
      </c>
      <c r="K572" s="1">
        <v>17</v>
      </c>
      <c r="L572" s="1">
        <v>5</v>
      </c>
      <c r="M572" s="1">
        <v>24</v>
      </c>
      <c r="N572" s="1">
        <v>20237</v>
      </c>
      <c r="O572" s="1">
        <v>231</v>
      </c>
      <c r="P572" s="2">
        <f>SUM(STREAMS_STATS[[#This Row],[In Spotify Playlists]],STREAMS_STATS[[#This Row],[In Apple Playlists]],STREAMS_STATS[[#This Row],[In Deezer Playlists]],STREAMS_STATS[[#This Row],[In YouTube Playlists]])</f>
        <v>57296</v>
      </c>
      <c r="Q572" s="1">
        <v>128</v>
      </c>
      <c r="R572" s="1">
        <v>-7</v>
      </c>
      <c r="S572" s="1" t="s">
        <v>75</v>
      </c>
      <c r="T572" s="1">
        <v>82</v>
      </c>
      <c r="U572" s="1">
        <v>63</v>
      </c>
      <c r="V572" s="1">
        <v>7</v>
      </c>
      <c r="W572" s="1">
        <v>85</v>
      </c>
      <c r="X572" s="1">
        <v>248</v>
      </c>
      <c r="Y572" s="5">
        <f>STREAMS_STATS[[#This Row],[Duration]]/60</f>
        <v>4.1333333333333337</v>
      </c>
      <c r="Z572" s="1">
        <v>16</v>
      </c>
      <c r="AA572" s="1">
        <v>16</v>
      </c>
      <c r="AB572" s="1">
        <v>71</v>
      </c>
    </row>
    <row r="573" spans="1:28">
      <c r="A573" t="s">
        <v>844</v>
      </c>
      <c r="B573" s="1" t="s">
        <v>119</v>
      </c>
      <c r="C573" s="1" t="s">
        <v>67</v>
      </c>
      <c r="D573" s="1">
        <v>2016</v>
      </c>
      <c r="E573" s="3">
        <v>1302184087</v>
      </c>
      <c r="F573" s="3" t="str" cm="1">
        <f t="array" ref="F573">_xlfn.IFS(STREAMS_STATS[[#This Row],[Streams]] &gt;= 1000000000, "1B+", STREAMS_STATS[[#This Row],[Streams]] &gt;= 500000000, "500M–1B", STREAMS_STATS[[#This Row],[Streams]] &gt;= 250000000, "250M–500M", TRUE, "Under 250M")</f>
        <v>1B+</v>
      </c>
      <c r="G573" s="1">
        <v>13985</v>
      </c>
      <c r="H573" s="1">
        <v>59</v>
      </c>
      <c r="I573" s="1">
        <v>8</v>
      </c>
      <c r="J573" s="1">
        <v>31351</v>
      </c>
      <c r="K573" s="1">
        <v>8</v>
      </c>
      <c r="L573" s="1">
        <v>270</v>
      </c>
      <c r="M573" s="1">
        <v>2</v>
      </c>
      <c r="N573" s="1">
        <v>27203</v>
      </c>
      <c r="O573" s="1">
        <v>117</v>
      </c>
      <c r="P573" s="2">
        <f>SUM(STREAMS_STATS[[#This Row],[In Spotify Playlists]],STREAMS_STATS[[#This Row],[In Apple Playlists]],STREAMS_STATS[[#This Row],[In Deezer Playlists]],STREAMS_STATS[[#This Row],[In YouTube Playlists]])</f>
        <v>72809</v>
      </c>
      <c r="Q573" s="1">
        <v>105</v>
      </c>
      <c r="R573" s="1">
        <v>-6</v>
      </c>
      <c r="S573" s="1" t="s">
        <v>68</v>
      </c>
      <c r="T573" s="1">
        <v>59</v>
      </c>
      <c r="U573" s="1">
        <v>80</v>
      </c>
      <c r="V573" s="1">
        <v>6</v>
      </c>
      <c r="W573" s="1">
        <v>59</v>
      </c>
      <c r="X573" s="1">
        <v>214</v>
      </c>
      <c r="Y573" s="5">
        <f>STREAMS_STATS[[#This Row],[Duration]]/60</f>
        <v>3.5666666666666669</v>
      </c>
      <c r="Z573" s="1">
        <v>10</v>
      </c>
      <c r="AA573" s="1">
        <v>4</v>
      </c>
      <c r="AB573" s="1">
        <v>79</v>
      </c>
    </row>
    <row r="574" spans="1:28">
      <c r="A574" t="s">
        <v>845</v>
      </c>
      <c r="B574" s="1" t="s">
        <v>119</v>
      </c>
      <c r="C574" s="1" t="s">
        <v>67</v>
      </c>
      <c r="D574" s="1">
        <v>2015</v>
      </c>
      <c r="E574" s="3">
        <v>851070493</v>
      </c>
      <c r="F574" s="3" t="str" cm="1">
        <f t="array" ref="F574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74" s="1">
        <v>7731</v>
      </c>
      <c r="H574" s="1">
        <v>168</v>
      </c>
      <c r="I574" s="1">
        <v>18</v>
      </c>
      <c r="J574" s="1">
        <v>33288</v>
      </c>
      <c r="K574" s="1">
        <v>18</v>
      </c>
      <c r="L574" s="1">
        <v>7</v>
      </c>
      <c r="M574" s="1">
        <v>2</v>
      </c>
      <c r="N574" s="1">
        <v>7626</v>
      </c>
      <c r="O574" s="1">
        <v>295</v>
      </c>
      <c r="P574" s="2">
        <f>SUM(STREAMS_STATS[[#This Row],[In Spotify Playlists]],STREAMS_STATS[[#This Row],[In Apple Playlists]],STREAMS_STATS[[#This Row],[In Deezer Playlists]],STREAMS_STATS[[#This Row],[In YouTube Playlists]])</f>
        <v>48652</v>
      </c>
      <c r="Q574" s="1">
        <v>100</v>
      </c>
      <c r="R574" s="1">
        <v>-4</v>
      </c>
      <c r="S574" s="1" t="s">
        <v>68</v>
      </c>
      <c r="T574" s="1">
        <v>77</v>
      </c>
      <c r="U574" s="1">
        <v>88</v>
      </c>
      <c r="V574" s="1">
        <v>12</v>
      </c>
      <c r="W574" s="1">
        <v>59</v>
      </c>
      <c r="X574" s="1">
        <v>225</v>
      </c>
      <c r="Y574" s="5">
        <f>STREAMS_STATS[[#This Row],[Duration]]/60</f>
        <v>3.75</v>
      </c>
      <c r="Z574" s="1">
        <v>6</v>
      </c>
      <c r="AA574" s="1">
        <v>9</v>
      </c>
      <c r="AB574" s="1">
        <v>75</v>
      </c>
    </row>
    <row r="575" spans="1:28">
      <c r="A575" t="s">
        <v>846</v>
      </c>
      <c r="B575" s="1" t="s">
        <v>93</v>
      </c>
      <c r="C575" s="1" t="s">
        <v>67</v>
      </c>
      <c r="D575" s="1">
        <v>2013</v>
      </c>
      <c r="E575" s="3">
        <v>1122364376</v>
      </c>
      <c r="F575" s="3" t="str" cm="1">
        <f t="array" ref="F575">_xlfn.IFS(STREAMS_STATS[[#This Row],[Streams]] &gt;= 1000000000, "1B+", STREAMS_STATS[[#This Row],[Streams]] &gt;= 500000000, "500M–1B", STREAMS_STATS[[#This Row],[Streams]] &gt;= 250000000, "250M–500M", TRUE, "Under 250M")</f>
        <v>1B+</v>
      </c>
      <c r="G575" s="1">
        <v>10147</v>
      </c>
      <c r="H575" s="1">
        <v>97</v>
      </c>
      <c r="I575" s="1">
        <v>52</v>
      </c>
      <c r="J575" s="1">
        <v>27136</v>
      </c>
      <c r="K575" s="1">
        <v>52</v>
      </c>
      <c r="L575" s="1">
        <v>11</v>
      </c>
      <c r="M575" s="1">
        <v>13</v>
      </c>
      <c r="N575" s="1">
        <v>13187</v>
      </c>
      <c r="O575" s="1">
        <v>106</v>
      </c>
      <c r="P575" s="2">
        <f>SUM(STREAMS_STATS[[#This Row],[In Spotify Playlists]],STREAMS_STATS[[#This Row],[In Apple Playlists]],STREAMS_STATS[[#This Row],[In Deezer Playlists]],STREAMS_STATS[[#This Row],[In YouTube Playlists]])</f>
        <v>50481</v>
      </c>
      <c r="Q575" s="1">
        <v>120</v>
      </c>
      <c r="R575" s="1">
        <v>-6</v>
      </c>
      <c r="S575" s="1" t="s">
        <v>68</v>
      </c>
      <c r="T575" s="1">
        <v>42</v>
      </c>
      <c r="U575" s="1">
        <v>53</v>
      </c>
      <c r="V575" s="1">
        <v>11</v>
      </c>
      <c r="W575" s="1">
        <v>35</v>
      </c>
      <c r="X575" s="1">
        <v>221</v>
      </c>
      <c r="Y575" s="5">
        <f>STREAMS_STATS[[#This Row],[Duration]]/60</f>
        <v>3.6833333333333331</v>
      </c>
      <c r="Z575" s="1">
        <v>41</v>
      </c>
      <c r="AA575" s="1">
        <v>3</v>
      </c>
      <c r="AB575" s="1">
        <v>77</v>
      </c>
    </row>
    <row r="576" spans="1:28">
      <c r="A576" t="s">
        <v>847</v>
      </c>
      <c r="B576" s="1" t="s">
        <v>848</v>
      </c>
      <c r="C576" s="1" t="s">
        <v>67</v>
      </c>
      <c r="D576" s="1">
        <v>2010</v>
      </c>
      <c r="E576" s="3">
        <v>256483385</v>
      </c>
      <c r="F576" s="3" t="str" cm="1">
        <f t="array" ref="F576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76" s="1">
        <v>1929</v>
      </c>
      <c r="H576" s="1">
        <v>289</v>
      </c>
      <c r="I576" s="1">
        <v>103</v>
      </c>
      <c r="J576" s="1">
        <v>14214</v>
      </c>
      <c r="K576" s="1">
        <v>99</v>
      </c>
      <c r="L576" s="1">
        <v>8241</v>
      </c>
      <c r="M576" s="1">
        <v>199</v>
      </c>
      <c r="N576" s="1">
        <v>31642</v>
      </c>
      <c r="O576" s="1">
        <v>201</v>
      </c>
      <c r="P576" s="2">
        <f>SUM(STREAMS_STATS[[#This Row],[In Spotify Playlists]],STREAMS_STATS[[#This Row],[In Apple Playlists]],STREAMS_STATS[[#This Row],[In Deezer Playlists]],STREAMS_STATS[[#This Row],[In YouTube Playlists]])</f>
        <v>56026</v>
      </c>
      <c r="Q576" s="1">
        <v>91</v>
      </c>
      <c r="R576" s="1">
        <v>-4</v>
      </c>
      <c r="S576" s="1" t="s">
        <v>68</v>
      </c>
      <c r="T576" s="1">
        <v>95</v>
      </c>
      <c r="U576" s="1">
        <v>64</v>
      </c>
      <c r="V576" s="1">
        <v>18</v>
      </c>
      <c r="W576" s="1">
        <v>57</v>
      </c>
      <c r="X576" s="1">
        <v>220</v>
      </c>
      <c r="Y576" s="5">
        <f>STREAMS_STATS[[#This Row],[Duration]]/60</f>
        <v>3.6666666666666665</v>
      </c>
      <c r="Z576" s="1">
        <v>6</v>
      </c>
      <c r="AA576" s="1">
        <v>7</v>
      </c>
      <c r="AB576" s="1">
        <v>52</v>
      </c>
    </row>
    <row r="577" spans="1:28">
      <c r="A577" t="s">
        <v>849</v>
      </c>
      <c r="B577" s="1" t="s">
        <v>612</v>
      </c>
      <c r="C577" s="1" t="s">
        <v>67</v>
      </c>
      <c r="D577" s="1">
        <v>2016</v>
      </c>
      <c r="E577" s="3">
        <v>293186992</v>
      </c>
      <c r="F577" s="3" t="str" cm="1">
        <f t="array" ref="F577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77" s="1">
        <v>2226</v>
      </c>
      <c r="H577" s="1">
        <v>145</v>
      </c>
      <c r="I577" s="1">
        <v>7</v>
      </c>
      <c r="J577" s="1">
        <v>11856</v>
      </c>
      <c r="K577" s="1">
        <v>7</v>
      </c>
      <c r="L577" s="1">
        <v>70</v>
      </c>
      <c r="M577" s="1">
        <v>16</v>
      </c>
      <c r="N577" s="1">
        <v>27415</v>
      </c>
      <c r="O577" s="1">
        <v>217</v>
      </c>
      <c r="P577" s="2">
        <f>SUM(STREAMS_STATS[[#This Row],[In Spotify Playlists]],STREAMS_STATS[[#This Row],[In Apple Playlists]],STREAMS_STATS[[#This Row],[In Deezer Playlists]],STREAMS_STATS[[#This Row],[In YouTube Playlists]])</f>
        <v>41567</v>
      </c>
      <c r="Q577" s="1">
        <v>120</v>
      </c>
      <c r="R577" s="1">
        <v>-3</v>
      </c>
      <c r="S577" s="1" t="s">
        <v>75</v>
      </c>
      <c r="T577" s="1">
        <v>82</v>
      </c>
      <c r="U577" s="1">
        <v>93</v>
      </c>
      <c r="V577" s="1">
        <v>6</v>
      </c>
      <c r="W577" s="1">
        <v>56</v>
      </c>
      <c r="X577" s="1">
        <v>193</v>
      </c>
      <c r="Y577" s="5">
        <f>STREAMS_STATS[[#This Row],[Duration]]/60</f>
        <v>3.2166666666666668</v>
      </c>
      <c r="Z577" s="1">
        <v>2</v>
      </c>
      <c r="AA577" s="1">
        <v>20</v>
      </c>
      <c r="AB577" s="1">
        <v>58</v>
      </c>
    </row>
    <row r="578" spans="1:28">
      <c r="A578" t="s">
        <v>850</v>
      </c>
      <c r="B578" s="1" t="s">
        <v>69</v>
      </c>
      <c r="C578" s="1" t="s">
        <v>67</v>
      </c>
      <c r="D578" s="1">
        <v>2014</v>
      </c>
      <c r="E578" s="3">
        <v>278920007</v>
      </c>
      <c r="F578" s="3" t="str" cm="1">
        <f t="array" ref="F578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78" s="1">
        <v>2040</v>
      </c>
      <c r="H578" s="1">
        <v>324</v>
      </c>
      <c r="I578" s="1">
        <v>99</v>
      </c>
      <c r="J578" s="1">
        <v>24718</v>
      </c>
      <c r="K578" s="1">
        <v>99</v>
      </c>
      <c r="L578" s="2">
        <v>4623</v>
      </c>
      <c r="M578" s="1">
        <v>1</v>
      </c>
      <c r="N578" s="1">
        <v>29531</v>
      </c>
      <c r="O578" s="1">
        <v>299</v>
      </c>
      <c r="P578" s="2">
        <f>SUM(STREAMS_STATS[[#This Row],[In Spotify Playlists]],STREAMS_STATS[[#This Row],[In Apple Playlists]],STREAMS_STATS[[#This Row],[In Deezer Playlists]],STREAMS_STATS[[#This Row],[In YouTube Playlists]])</f>
        <v>60912</v>
      </c>
      <c r="Q578" s="1">
        <v>170</v>
      </c>
      <c r="R578" s="1">
        <v>-9</v>
      </c>
      <c r="S578" s="1" t="s">
        <v>68</v>
      </c>
      <c r="T578" s="1">
        <v>79</v>
      </c>
      <c r="U578" s="1">
        <v>47</v>
      </c>
      <c r="V578" s="1">
        <v>31</v>
      </c>
      <c r="W578" s="1">
        <v>21</v>
      </c>
      <c r="X578" s="1">
        <v>216</v>
      </c>
      <c r="Y578" s="5">
        <f>STREAMS_STATS[[#This Row],[Duration]]/60</f>
        <v>3.6</v>
      </c>
      <c r="Z578" s="1">
        <v>17</v>
      </c>
      <c r="AA578" s="1">
        <v>26</v>
      </c>
      <c r="AB578" s="1">
        <v>56</v>
      </c>
    </row>
    <row r="579" spans="1:28">
      <c r="A579" t="s">
        <v>851</v>
      </c>
      <c r="B579" s="1" t="s">
        <v>577</v>
      </c>
      <c r="C579" s="1" t="s">
        <v>67</v>
      </c>
      <c r="D579" s="1">
        <v>2011</v>
      </c>
      <c r="E579" s="3">
        <v>516784627</v>
      </c>
      <c r="F579" s="3" t="str" cm="1">
        <f t="array" ref="F579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79" s="1">
        <v>4198</v>
      </c>
      <c r="H579" s="1">
        <v>444</v>
      </c>
      <c r="I579" s="1">
        <v>170</v>
      </c>
      <c r="J579" s="1">
        <v>9165</v>
      </c>
      <c r="K579" s="1">
        <v>79</v>
      </c>
      <c r="L579" s="1">
        <v>1357</v>
      </c>
      <c r="M579" s="1">
        <v>55</v>
      </c>
      <c r="N579" s="1">
        <v>32121</v>
      </c>
      <c r="O579" s="1">
        <v>341</v>
      </c>
      <c r="P579" s="2">
        <f>SUM(STREAMS_STATS[[#This Row],[In Spotify Playlists]],STREAMS_STATS[[#This Row],[In Apple Playlists]],STREAMS_STATS[[#This Row],[In Deezer Playlists]],STREAMS_STATS[[#This Row],[In YouTube Playlists]])</f>
        <v>46841</v>
      </c>
      <c r="Q579" s="1">
        <v>130</v>
      </c>
      <c r="R579" s="1">
        <v>-3</v>
      </c>
      <c r="S579" s="1" t="s">
        <v>68</v>
      </c>
      <c r="T579" s="1">
        <v>88</v>
      </c>
      <c r="U579" s="1">
        <v>71</v>
      </c>
      <c r="V579" s="1">
        <v>9</v>
      </c>
      <c r="W579" s="1">
        <v>70</v>
      </c>
      <c r="X579" s="1">
        <v>242</v>
      </c>
      <c r="Y579" s="5">
        <f>STREAMS_STATS[[#This Row],[Duration]]/60</f>
        <v>4.0333333333333332</v>
      </c>
      <c r="Z579" s="1">
        <v>0</v>
      </c>
      <c r="AA579" s="1">
        <v>4</v>
      </c>
      <c r="AB579" s="1">
        <v>69</v>
      </c>
    </row>
    <row r="580" spans="1:28">
      <c r="A580" t="s">
        <v>852</v>
      </c>
      <c r="B580" s="1" t="s">
        <v>81</v>
      </c>
      <c r="C580" s="1" t="s">
        <v>67</v>
      </c>
      <c r="D580" s="1">
        <v>2015</v>
      </c>
      <c r="E580" s="3">
        <v>233801632</v>
      </c>
      <c r="F580" s="3" t="str" cm="1">
        <f t="array" ref="F580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80" s="1">
        <v>1638</v>
      </c>
      <c r="H580" s="1">
        <v>384</v>
      </c>
      <c r="I580" s="1">
        <v>5</v>
      </c>
      <c r="J580" s="1">
        <v>22943</v>
      </c>
      <c r="K580" s="1">
        <v>72</v>
      </c>
      <c r="L580" s="1">
        <v>29</v>
      </c>
      <c r="M580" s="1">
        <v>19</v>
      </c>
      <c r="N580" s="1">
        <v>10967</v>
      </c>
      <c r="O580" s="1">
        <v>26</v>
      </c>
      <c r="P580" s="2">
        <f>SUM(STREAMS_STATS[[#This Row],[In Spotify Playlists]],STREAMS_STATS[[#This Row],[In Apple Playlists]],STREAMS_STATS[[#This Row],[In Deezer Playlists]],STREAMS_STATS[[#This Row],[In YouTube Playlists]])</f>
        <v>35577</v>
      </c>
      <c r="Q580" s="1">
        <v>128</v>
      </c>
      <c r="R580" s="1">
        <v>-4</v>
      </c>
      <c r="S580" s="1" t="s">
        <v>68</v>
      </c>
      <c r="T580" s="1">
        <v>78</v>
      </c>
      <c r="U580" s="1">
        <v>57</v>
      </c>
      <c r="V580" s="1">
        <v>33</v>
      </c>
      <c r="W580" s="1">
        <v>28</v>
      </c>
      <c r="X580" s="1">
        <v>243</v>
      </c>
      <c r="Y580" s="5">
        <f>STREAMS_STATS[[#This Row],[Duration]]/60</f>
        <v>4.05</v>
      </c>
      <c r="Z580" s="1">
        <v>2</v>
      </c>
      <c r="AA580" s="1">
        <v>3</v>
      </c>
      <c r="AB580" s="1">
        <v>46</v>
      </c>
    </row>
    <row r="581" spans="1:28">
      <c r="A581" t="s">
        <v>853</v>
      </c>
      <c r="B581" s="1" t="s">
        <v>97</v>
      </c>
      <c r="C581" s="1" t="s">
        <v>67</v>
      </c>
      <c r="D581" s="1">
        <v>2011</v>
      </c>
      <c r="E581" s="3">
        <v>363467642</v>
      </c>
      <c r="F581" s="3" t="str" cm="1">
        <f t="array" ref="F581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81" s="1">
        <v>2844</v>
      </c>
      <c r="H581" s="1">
        <v>380</v>
      </c>
      <c r="I581" s="1">
        <v>250</v>
      </c>
      <c r="J581" s="1">
        <v>32286</v>
      </c>
      <c r="K581" s="1">
        <v>76</v>
      </c>
      <c r="L581" s="1">
        <v>535</v>
      </c>
      <c r="M581" s="1">
        <v>160</v>
      </c>
      <c r="N581" s="1">
        <v>3654</v>
      </c>
      <c r="O581" s="1">
        <v>104</v>
      </c>
      <c r="P581" s="2">
        <f>SUM(STREAMS_STATS[[#This Row],[In Spotify Playlists]],STREAMS_STATS[[#This Row],[In Apple Playlists]],STREAMS_STATS[[#This Row],[In Deezer Playlists]],STREAMS_STATS[[#This Row],[In YouTube Playlists]])</f>
        <v>39319</v>
      </c>
      <c r="Q581" s="1">
        <v>127</v>
      </c>
      <c r="R581" s="1">
        <v>-5</v>
      </c>
      <c r="S581" s="1" t="s">
        <v>68</v>
      </c>
      <c r="T581" s="1">
        <v>70</v>
      </c>
      <c r="U581" s="1">
        <v>52</v>
      </c>
      <c r="V581" s="1">
        <v>9</v>
      </c>
      <c r="W581" s="1">
        <v>52</v>
      </c>
      <c r="X581" s="1">
        <v>307</v>
      </c>
      <c r="Y581" s="5">
        <f>STREAMS_STATS[[#This Row],[Duration]]/60</f>
        <v>5.1166666666666663</v>
      </c>
      <c r="Z581" s="1">
        <v>9</v>
      </c>
      <c r="AA581" s="1">
        <v>5</v>
      </c>
      <c r="AB581" s="1">
        <v>64</v>
      </c>
    </row>
    <row r="582" spans="1:28">
      <c r="A582" t="s">
        <v>854</v>
      </c>
      <c r="B582" s="1" t="s">
        <v>39</v>
      </c>
      <c r="C582" s="1" t="s">
        <v>115</v>
      </c>
      <c r="D582" s="1">
        <v>2012</v>
      </c>
      <c r="E582" s="3">
        <v>287278853</v>
      </c>
      <c r="F582" s="3" t="str" cm="1">
        <f t="array" ref="F582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82" s="1">
        <v>2171</v>
      </c>
      <c r="H582" s="1">
        <v>368</v>
      </c>
      <c r="I582" s="1">
        <v>112</v>
      </c>
      <c r="J582" s="1">
        <v>7898</v>
      </c>
      <c r="K582" s="1">
        <v>60</v>
      </c>
      <c r="L582" s="1">
        <v>7129</v>
      </c>
      <c r="M582" s="1">
        <v>193</v>
      </c>
      <c r="N582" s="1">
        <v>39385</v>
      </c>
      <c r="O582" s="1">
        <v>140</v>
      </c>
      <c r="P582" s="2">
        <f>SUM(STREAMS_STATS[[#This Row],[In Spotify Playlists]],STREAMS_STATS[[#This Row],[In Apple Playlists]],STREAMS_STATS[[#This Row],[In Deezer Playlists]],STREAMS_STATS[[#This Row],[In YouTube Playlists]])</f>
        <v>56583</v>
      </c>
      <c r="Q582" s="1">
        <v>127</v>
      </c>
      <c r="R582" s="1">
        <v>-5</v>
      </c>
      <c r="S582" s="1" t="s">
        <v>75</v>
      </c>
      <c r="T582" s="1">
        <v>72</v>
      </c>
      <c r="U582" s="1">
        <v>70</v>
      </c>
      <c r="V582" s="1">
        <v>13</v>
      </c>
      <c r="W582" s="1">
        <v>86</v>
      </c>
      <c r="X582" s="1">
        <v>200</v>
      </c>
      <c r="Y582" s="5">
        <f>STREAMS_STATS[[#This Row],[Duration]]/60</f>
        <v>3.3333333333333335</v>
      </c>
      <c r="Z582" s="1">
        <v>50</v>
      </c>
      <c r="AA582" s="1">
        <v>4</v>
      </c>
      <c r="AB582" s="1">
        <v>57</v>
      </c>
    </row>
    <row r="583" spans="1:28">
      <c r="A583" t="s">
        <v>855</v>
      </c>
      <c r="B583" s="1" t="s">
        <v>190</v>
      </c>
      <c r="C583" s="1" t="s">
        <v>67</v>
      </c>
      <c r="D583" s="1">
        <v>2010</v>
      </c>
      <c r="E583" s="3">
        <v>282883169</v>
      </c>
      <c r="F583" s="3" t="str" cm="1">
        <f t="array" ref="F583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83" s="1">
        <v>2092</v>
      </c>
      <c r="H583" s="1">
        <v>402</v>
      </c>
      <c r="I583" s="1">
        <v>292</v>
      </c>
      <c r="J583" s="1">
        <v>17199</v>
      </c>
      <c r="K583" s="1">
        <v>56</v>
      </c>
      <c r="L583" s="1">
        <v>1564</v>
      </c>
      <c r="M583" s="1">
        <v>174</v>
      </c>
      <c r="N583" s="1">
        <v>14054</v>
      </c>
      <c r="O583" s="1">
        <v>363</v>
      </c>
      <c r="P583" s="2">
        <f>SUM(STREAMS_STATS[[#This Row],[In Spotify Playlists]],STREAMS_STATS[[#This Row],[In Apple Playlists]],STREAMS_STATS[[#This Row],[In Deezer Playlists]],STREAMS_STATS[[#This Row],[In YouTube Playlists]])</f>
        <v>34909</v>
      </c>
      <c r="Q583" s="1">
        <v>43</v>
      </c>
      <c r="R583" s="1">
        <v>-6</v>
      </c>
      <c r="S583" s="1" t="s">
        <v>68</v>
      </c>
      <c r="T583" s="1">
        <v>39</v>
      </c>
      <c r="U583" s="1">
        <v>23</v>
      </c>
      <c r="V583" s="1">
        <v>14</v>
      </c>
      <c r="W583" s="1">
        <v>7</v>
      </c>
      <c r="X583" s="1">
        <v>257</v>
      </c>
      <c r="Y583" s="5">
        <f>STREAMS_STATS[[#This Row],[Duration]]/60</f>
        <v>4.2833333333333332</v>
      </c>
      <c r="Z583" s="1">
        <v>85</v>
      </c>
      <c r="AA583" s="1">
        <v>4</v>
      </c>
      <c r="AB583" s="1">
        <v>56</v>
      </c>
    </row>
    <row r="584" spans="1:28">
      <c r="A584" t="s">
        <v>856</v>
      </c>
      <c r="B584" s="1" t="s">
        <v>38</v>
      </c>
      <c r="C584" s="1" t="s">
        <v>25</v>
      </c>
      <c r="D584" s="1">
        <v>2014</v>
      </c>
      <c r="E584" s="3">
        <v>445763624</v>
      </c>
      <c r="F584" s="3" t="str" cm="1">
        <f t="array" ref="F584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84" s="1">
        <v>3486</v>
      </c>
      <c r="H584" s="1">
        <v>141</v>
      </c>
      <c r="I584" s="1">
        <v>3</v>
      </c>
      <c r="J584" s="1">
        <v>2011</v>
      </c>
      <c r="K584" s="1">
        <v>87</v>
      </c>
      <c r="L584" s="1">
        <v>11</v>
      </c>
      <c r="M584" s="1">
        <v>12</v>
      </c>
      <c r="N584" s="1">
        <v>10861</v>
      </c>
      <c r="O584" s="1">
        <v>26</v>
      </c>
      <c r="P584" s="2">
        <f>SUM(STREAMS_STATS[[#This Row],[In Spotify Playlists]],STREAMS_STATS[[#This Row],[In Apple Playlists]],STREAMS_STATS[[#This Row],[In Deezer Playlists]],STREAMS_STATS[[#This Row],[In YouTube Playlists]])</f>
        <v>16369</v>
      </c>
      <c r="Q584" s="1">
        <v>126</v>
      </c>
      <c r="R584" s="1">
        <v>-5</v>
      </c>
      <c r="S584" s="1" t="s">
        <v>68</v>
      </c>
      <c r="T584" s="1">
        <v>75</v>
      </c>
      <c r="U584" s="1">
        <v>56</v>
      </c>
      <c r="V584" s="1">
        <v>21</v>
      </c>
      <c r="W584" s="1">
        <v>50</v>
      </c>
      <c r="X584" s="1">
        <v>229</v>
      </c>
      <c r="Y584" s="5">
        <f>STREAMS_STATS[[#This Row],[Duration]]/60</f>
        <v>3.8166666666666669</v>
      </c>
      <c r="Z584" s="1">
        <v>46</v>
      </c>
      <c r="AA584" s="1">
        <v>3</v>
      </c>
      <c r="AB584" s="1">
        <v>85</v>
      </c>
    </row>
    <row r="585" spans="1:28">
      <c r="A585" t="s">
        <v>857</v>
      </c>
      <c r="B585" s="1" t="s">
        <v>93</v>
      </c>
      <c r="C585" s="1" t="s">
        <v>67</v>
      </c>
      <c r="D585" s="1">
        <v>2017</v>
      </c>
      <c r="E585" s="3">
        <v>330881149</v>
      </c>
      <c r="F585" s="3" t="str" cm="1">
        <f t="array" ref="F585">_xlfn.IFS(STREAMS_STATS[[#This Row],[Streams]] &gt;= 1000000000, "1B+", STREAMS_STATS[[#This Row],[Streams]] &gt;= 500000000, "500M–1B", STREAMS_STATS[[#This Row],[Streams]] &gt;= 250000000, "250M–500M", TRUE, "Under 250M")</f>
        <v>250M–500M</v>
      </c>
      <c r="G585" s="1">
        <v>2575</v>
      </c>
      <c r="H585" s="1">
        <v>341</v>
      </c>
      <c r="I585" s="1">
        <v>62</v>
      </c>
      <c r="J585" s="1">
        <v>34141</v>
      </c>
      <c r="K585" s="1">
        <v>4</v>
      </c>
      <c r="L585" s="1">
        <v>30</v>
      </c>
      <c r="M585" s="1">
        <v>24</v>
      </c>
      <c r="N585" s="1">
        <v>17058</v>
      </c>
      <c r="O585" s="1">
        <v>49</v>
      </c>
      <c r="P585" s="2">
        <f>SUM(STREAMS_STATS[[#This Row],[In Spotify Playlists]],STREAMS_STATS[[#This Row],[In Apple Playlists]],STREAMS_STATS[[#This Row],[In Deezer Playlists]],STREAMS_STATS[[#This Row],[In YouTube Playlists]])</f>
        <v>53804</v>
      </c>
      <c r="Q585" s="1">
        <v>122</v>
      </c>
      <c r="R585" s="1">
        <v>-5</v>
      </c>
      <c r="S585" s="1" t="s">
        <v>75</v>
      </c>
      <c r="T585" s="1">
        <v>87</v>
      </c>
      <c r="U585" s="1">
        <v>55</v>
      </c>
      <c r="V585" s="1">
        <v>14</v>
      </c>
      <c r="W585" s="1">
        <v>33</v>
      </c>
      <c r="X585" s="1">
        <v>249</v>
      </c>
      <c r="Y585" s="5">
        <f>STREAMS_STATS[[#This Row],[Duration]]/60</f>
        <v>4.1500000000000004</v>
      </c>
      <c r="Z585" s="1">
        <v>0</v>
      </c>
      <c r="AA585" s="1">
        <v>6</v>
      </c>
      <c r="AB585" s="1">
        <v>62</v>
      </c>
    </row>
    <row r="586" spans="1:28">
      <c r="A586" t="s">
        <v>858</v>
      </c>
      <c r="B586" s="1" t="s">
        <v>164</v>
      </c>
      <c r="C586" s="1" t="s">
        <v>67</v>
      </c>
      <c r="D586" s="1">
        <v>2010</v>
      </c>
      <c r="E586" s="3">
        <v>527033089</v>
      </c>
      <c r="F586" s="3" t="str" cm="1">
        <f t="array" ref="F586">_xlfn.IFS(STREAMS_STATS[[#This Row],[Streams]] &gt;= 1000000000, "1B+", STREAMS_STATS[[#This Row],[Streams]] &gt;= 500000000, "500M–1B", STREAMS_STATS[[#This Row],[Streams]] &gt;= 250000000, "250M–500M", TRUE, "Under 250M")</f>
        <v>500M–1B</v>
      </c>
      <c r="G586" s="1">
        <v>4260</v>
      </c>
      <c r="H586" s="1">
        <v>233</v>
      </c>
      <c r="I586" s="1">
        <v>26</v>
      </c>
      <c r="J586" s="1">
        <v>2188</v>
      </c>
      <c r="K586" s="1">
        <v>56</v>
      </c>
      <c r="L586" s="1">
        <v>1827</v>
      </c>
      <c r="M586" s="1">
        <v>83</v>
      </c>
      <c r="N586" s="1">
        <v>38307</v>
      </c>
      <c r="O586" s="1">
        <v>225</v>
      </c>
      <c r="P586" s="2">
        <f>SUM(STREAMS_STATS[[#This Row],[In Spotify Playlists]],STREAMS_STATS[[#This Row],[In Apple Playlists]],STREAMS_STATS[[#This Row],[In Deezer Playlists]],STREAMS_STATS[[#This Row],[In YouTube Playlists]])</f>
        <v>46582</v>
      </c>
      <c r="Q586" s="1">
        <v>120</v>
      </c>
      <c r="R586" s="1">
        <v>-4</v>
      </c>
      <c r="S586" s="1" t="s">
        <v>68</v>
      </c>
      <c r="T586" s="1">
        <v>61</v>
      </c>
      <c r="U586" s="1">
        <v>83</v>
      </c>
      <c r="V586" s="1">
        <v>9</v>
      </c>
      <c r="W586" s="1">
        <v>76</v>
      </c>
      <c r="X586" s="1">
        <v>187</v>
      </c>
      <c r="Y586" s="5">
        <f>STREAMS_STATS[[#This Row],[Duration]]/60</f>
        <v>3.1166666666666667</v>
      </c>
      <c r="Z586" s="1">
        <v>1</v>
      </c>
      <c r="AA586" s="1">
        <v>10</v>
      </c>
      <c r="AB586" s="1">
        <v>69</v>
      </c>
    </row>
    <row r="587" spans="1:28">
      <c r="A587" t="s">
        <v>859</v>
      </c>
      <c r="B587" s="1" t="s">
        <v>71</v>
      </c>
      <c r="C587" s="1" t="s">
        <v>67</v>
      </c>
      <c r="D587" s="1">
        <v>2014</v>
      </c>
      <c r="E587" s="3">
        <v>213505179</v>
      </c>
      <c r="F587" s="3" t="str" cm="1">
        <f t="array" ref="F587">_xlfn.IFS(STREAMS_STATS[[#This Row],[Streams]] &gt;= 1000000000, "1B+", STREAMS_STATS[[#This Row],[Streams]] &gt;= 500000000, "500M–1B", STREAMS_STATS[[#This Row],[Streams]] &gt;= 250000000, "250M–500M", TRUE, "Under 250M")</f>
        <v>Under 250M</v>
      </c>
      <c r="G587" s="1">
        <v>1494</v>
      </c>
      <c r="H587" s="1">
        <v>240</v>
      </c>
      <c r="I587" s="1">
        <v>68</v>
      </c>
      <c r="J587" s="1">
        <v>13580</v>
      </c>
      <c r="K587" s="1">
        <v>68</v>
      </c>
      <c r="L587" s="1">
        <v>266</v>
      </c>
      <c r="M587" s="1">
        <v>1</v>
      </c>
      <c r="N587" s="1">
        <v>18258</v>
      </c>
      <c r="O587" s="1">
        <v>37</v>
      </c>
      <c r="P587" s="2">
        <f>SUM(STREAMS_STATS[[#This Row],[In Spotify Playlists]],STREAMS_STATS[[#This Row],[In Apple Playlists]],STREAMS_STATS[[#This Row],[In Deezer Playlists]],STREAMS_STATS[[#This Row],[In YouTube Playlists]])</f>
        <v>33598</v>
      </c>
      <c r="Q587" s="1">
        <v>149</v>
      </c>
      <c r="R587" s="1">
        <v>-7</v>
      </c>
      <c r="S587" s="1" t="s">
        <v>68</v>
      </c>
      <c r="T587" s="1">
        <v>58</v>
      </c>
      <c r="U587" s="1">
        <v>63</v>
      </c>
      <c r="V587" s="1">
        <v>38</v>
      </c>
      <c r="W587" s="1">
        <v>56</v>
      </c>
      <c r="X587" s="1">
        <v>224</v>
      </c>
      <c r="Y587" s="5">
        <f>STREAMS_STATS[[#This Row],[Duration]]/60</f>
        <v>3.7333333333333334</v>
      </c>
      <c r="Z587" s="1">
        <v>28</v>
      </c>
      <c r="AA587" s="1">
        <v>7</v>
      </c>
      <c r="AB587" s="1">
        <v>38</v>
      </c>
    </row>
    <row r="600" spans="1:32">
      <c r="A600" t="s">
        <v>860</v>
      </c>
      <c r="B600" s="1" t="s">
        <v>33</v>
      </c>
      <c r="C600" s="1" t="s">
        <v>134</v>
      </c>
      <c r="D600" s="1">
        <v>2018</v>
      </c>
      <c r="E600" s="3">
        <v>834129063</v>
      </c>
      <c r="F600" s="3"/>
      <c r="G600" s="3" t="e">
        <f>IF(STREAMS_STATS[[#This Row],[Streams]]&lt;250000000,STREAMS_STATS[[#This Row],[Song]],"")</f>
        <v>#VALUE!</v>
      </c>
      <c r="H600" s="3" t="e" cm="1">
        <f t="array" ref="H600">_xlfn.IFS(AND(STREAMS_STATS[[#This Row],[Streams]]&gt;=250000000,STREAMS_STATS[[#This Row],[Streams]]&lt;=500000000),STREAMS_STATS[[#This Row],[Song]])</f>
        <v>#VALUE!</v>
      </c>
      <c r="I600" s="3" t="e" cm="1">
        <f t="array" ref="I600">_xlfn.IFS(AND(STREAMS_STATS[[#This Row],[Streams]]&gt;=500000000,STREAMS_STATS[[#This Row],[Streams]]&lt;=1000000000),STREAMS_STATS[[#This Row],[Song]])</f>
        <v>#VALUE!</v>
      </c>
      <c r="J600" s="3"/>
      <c r="K600" s="1">
        <v>7536</v>
      </c>
      <c r="L600" s="1">
        <v>357</v>
      </c>
      <c r="M600" s="1">
        <v>22</v>
      </c>
      <c r="N600" s="1">
        <v>24307</v>
      </c>
      <c r="O600" s="1">
        <v>22</v>
      </c>
      <c r="P600" s="1">
        <v>365</v>
      </c>
      <c r="Q600" s="1">
        <v>2</v>
      </c>
      <c r="R600" s="1">
        <v>31429</v>
      </c>
      <c r="S600" s="1">
        <v>57</v>
      </c>
      <c r="T600" s="2" t="e">
        <f>SUM(STREAMS_STATS[[#This Row],[In Spotify Playlists]],STREAMS_STATS[[#This Row],[In Apple Playlists]],STREAMS_STATS[[#This Row],[In Deezer Playlists]],STREAMS_STATS[[#This Row],[In YouTube Playlists]])</f>
        <v>#VALUE!</v>
      </c>
      <c r="U600" s="1">
        <v>100</v>
      </c>
      <c r="V600" s="1">
        <v>-7</v>
      </c>
      <c r="W600" s="1" t="s">
        <v>75</v>
      </c>
      <c r="X600" s="1">
        <v>60</v>
      </c>
      <c r="Y600" s="1">
        <v>53</v>
      </c>
      <c r="Z600" s="1">
        <v>13</v>
      </c>
      <c r="AA600" s="1">
        <v>32</v>
      </c>
      <c r="AB600" s="1">
        <v>191</v>
      </c>
      <c r="AC600" s="5" t="e">
        <f>STREAMS_STATS[[#This Row],[Duration]]/60</f>
        <v>#VALUE!</v>
      </c>
      <c r="AD600" s="1">
        <v>56</v>
      </c>
      <c r="AE600" s="1">
        <v>12</v>
      </c>
      <c r="AF600" s="1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C1844-5628-419C-ABA8-936AEA4EE3CE}">
  <sheetPr>
    <tabColor theme="1" tint="0.499984740745262"/>
  </sheetPr>
  <dimension ref="A1:N6"/>
  <sheetViews>
    <sheetView showGridLines="0" workbookViewId="0">
      <selection activeCell="A3" sqref="A3"/>
    </sheetView>
  </sheetViews>
  <sheetFormatPr defaultRowHeight="15"/>
  <cols>
    <col min="1" max="1" width="26.85546875" bestFit="1" customWidth="1"/>
    <col min="3" max="3" width="5.28515625" customWidth="1"/>
    <col min="4" max="4" width="13.140625" bestFit="1" customWidth="1"/>
    <col min="6" max="6" width="14" customWidth="1"/>
    <col min="7" max="7" width="15.42578125" customWidth="1"/>
    <col min="10" max="10" width="7.140625" customWidth="1"/>
    <col min="11" max="11" width="16.28515625" customWidth="1"/>
    <col min="13" max="13" width="3.7109375" customWidth="1"/>
  </cols>
  <sheetData>
    <row r="1" spans="1:14" ht="20.25">
      <c r="A1" s="11" t="s">
        <v>861</v>
      </c>
      <c r="B1" s="11"/>
      <c r="C1" s="11"/>
      <c r="D1" s="11" t="s">
        <v>862</v>
      </c>
      <c r="E1" s="11"/>
      <c r="F1" s="11"/>
      <c r="G1" s="11" t="s">
        <v>863</v>
      </c>
      <c r="H1" s="11"/>
      <c r="I1" s="11"/>
      <c r="J1" s="11"/>
      <c r="K1" s="11" t="s">
        <v>864</v>
      </c>
      <c r="L1" s="11"/>
      <c r="M1" s="11"/>
      <c r="N1" s="10"/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0"/>
    </row>
    <row r="3" spans="1:14" ht="31.5">
      <c r="A3" s="13">
        <f>SUM(Clean_Data!E:E)</f>
        <v>442016553998</v>
      </c>
      <c r="B3" s="14"/>
      <c r="C3" s="14"/>
      <c r="D3" s="14">
        <f>AVERAGE(Clean_Data!Q:Q)</f>
        <v>118.64565587734242</v>
      </c>
      <c r="E3" s="14" t="s">
        <v>865</v>
      </c>
      <c r="F3" s="14"/>
      <c r="G3" s="15">
        <f>COUNTIF(Clean_Data!F2:F600, "1B+") / COUNTA(Clean_Data!A2:A600)</f>
        <v>0.25383304940374785</v>
      </c>
      <c r="H3" s="14"/>
      <c r="I3" s="14"/>
      <c r="J3" s="14"/>
      <c r="K3" s="14">
        <f>COUNTA(_xlfn.UNIQUE(Clean_Data!B2:B600))</f>
        <v>184</v>
      </c>
      <c r="L3" s="14"/>
      <c r="M3" s="12"/>
      <c r="N3" s="10"/>
    </row>
    <row r="4" spans="1: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0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0"/>
    </row>
    <row r="6" spans="1:1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8E8F-9C6F-481B-879A-6C1BF650CC95}">
  <sheetPr>
    <tabColor theme="6" tint="0.39997558519241921"/>
  </sheetPr>
  <dimension ref="A1:A47"/>
  <sheetViews>
    <sheetView showGridLines="0" tabSelected="1" topLeftCell="A6" workbookViewId="0">
      <selection activeCell="G6" sqref="G6"/>
    </sheetView>
  </sheetViews>
  <sheetFormatPr defaultRowHeight="15"/>
  <sheetData>
    <row r="1" spans="1:1">
      <c r="A1" t="s">
        <v>866</v>
      </c>
    </row>
    <row r="3" spans="1:1">
      <c r="A3" t="s">
        <v>867</v>
      </c>
    </row>
    <row r="5" spans="1:1">
      <c r="A5" t="s">
        <v>868</v>
      </c>
    </row>
    <row r="7" spans="1:1">
      <c r="A7" t="s">
        <v>869</v>
      </c>
    </row>
    <row r="8" spans="1:1">
      <c r="A8" t="s">
        <v>870</v>
      </c>
    </row>
    <row r="10" spans="1:1">
      <c r="A10" t="s">
        <v>868</v>
      </c>
    </row>
    <row r="12" spans="1:1">
      <c r="A12" t="s">
        <v>871</v>
      </c>
    </row>
    <row r="13" spans="1:1">
      <c r="A13" t="s">
        <v>872</v>
      </c>
    </row>
    <row r="14" spans="1:1">
      <c r="A14" t="s">
        <v>873</v>
      </c>
    </row>
    <row r="15" spans="1:1">
      <c r="A15" t="s">
        <v>874</v>
      </c>
    </row>
    <row r="16" spans="1:1">
      <c r="A16" t="s">
        <v>875</v>
      </c>
    </row>
    <row r="17" spans="1:1">
      <c r="A17" t="s">
        <v>876</v>
      </c>
    </row>
    <row r="18" spans="1:1">
      <c r="A18" t="s">
        <v>877</v>
      </c>
    </row>
    <row r="20" spans="1:1">
      <c r="A20" t="s">
        <v>868</v>
      </c>
    </row>
    <row r="22" spans="1:1">
      <c r="A22" t="s">
        <v>878</v>
      </c>
    </row>
    <row r="24" spans="1:1">
      <c r="A24" t="s">
        <v>879</v>
      </c>
    </row>
    <row r="25" spans="1:1">
      <c r="A25" t="s">
        <v>880</v>
      </c>
    </row>
    <row r="26" spans="1:1">
      <c r="A26" t="s">
        <v>881</v>
      </c>
    </row>
    <row r="28" spans="1:1">
      <c r="A28" t="s">
        <v>882</v>
      </c>
    </row>
    <row r="29" spans="1:1">
      <c r="A29" t="s">
        <v>883</v>
      </c>
    </row>
    <row r="30" spans="1:1">
      <c r="A30" t="s">
        <v>884</v>
      </c>
    </row>
    <row r="32" spans="1:1">
      <c r="A32" t="s">
        <v>885</v>
      </c>
    </row>
    <row r="33" spans="1:1">
      <c r="A33" t="s">
        <v>886</v>
      </c>
    </row>
    <row r="35" spans="1:1">
      <c r="A35" t="s">
        <v>868</v>
      </c>
    </row>
    <row r="37" spans="1:1">
      <c r="A37" t="s">
        <v>887</v>
      </c>
    </row>
    <row r="38" spans="1:1">
      <c r="A38" t="s">
        <v>888</v>
      </c>
    </row>
    <row r="39" spans="1:1">
      <c r="A39" t="s">
        <v>889</v>
      </c>
    </row>
    <row r="40" spans="1:1">
      <c r="A40" t="s">
        <v>890</v>
      </c>
    </row>
    <row r="42" spans="1:1">
      <c r="A42" t="s">
        <v>868</v>
      </c>
    </row>
    <row r="44" spans="1:1">
      <c r="A44" t="s">
        <v>891</v>
      </c>
    </row>
    <row r="45" spans="1:1">
      <c r="A45" t="s">
        <v>892</v>
      </c>
    </row>
    <row r="46" spans="1:1">
      <c r="A46" t="s">
        <v>893</v>
      </c>
    </row>
    <row r="47" spans="1:1">
      <c r="A47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2026-10-03T12:32:23Z</dcterms:created>
  <dcterms:modified xsi:type="dcterms:W3CDTF">2026-10-03T15:19:36Z</dcterms:modified>
  <cp:category/>
  <cp:contentStatus/>
</cp:coreProperties>
</file>